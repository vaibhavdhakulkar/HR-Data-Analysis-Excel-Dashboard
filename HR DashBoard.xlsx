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dhaku\Desktop\UV Techno\Excel\HR\"/>
    </mc:Choice>
  </mc:AlternateContent>
  <xr:revisionPtr revIDLastSave="0" documentId="13_ncr:1_{B93E5101-0B1A-458C-BA7F-3058DE03D48D}" xr6:coauthVersionLast="47" xr6:coauthVersionMax="47" xr10:uidLastSave="{00000000-0000-0000-0000-000000000000}"/>
  <bookViews>
    <workbookView xWindow="-98" yWindow="-98" windowWidth="19396" windowHeight="11475" activeTab="2" xr2:uid="{408BA6AB-5196-496B-9C80-B057CC378CDA}"/>
  </bookViews>
  <sheets>
    <sheet name="Raw Data" sheetId="1" r:id="rId1"/>
    <sheet name="Pivote Table" sheetId="4" r:id="rId2"/>
    <sheet name="Dashboard" sheetId="2" r:id="rId3"/>
  </sheets>
  <definedNames>
    <definedName name="Slicer_Department1">#N/A</definedName>
    <definedName name="Slicer_Gender1">#N/A</definedName>
  </definedNames>
  <calcPr calcId="191029"/>
  <pivotCaches>
    <pivotCache cacheId="2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5" i="4" l="1"/>
  <c r="W14" i="4"/>
  <c r="W13" i="4"/>
  <c r="W11" i="4"/>
  <c r="W12" i="4"/>
  <c r="T15" i="4"/>
  <c r="T14" i="4"/>
  <c r="T13" i="4"/>
  <c r="T12" i="4"/>
  <c r="T11" i="4"/>
  <c r="F15" i="4"/>
  <c r="F14" i="4"/>
  <c r="F13" i="4"/>
  <c r="F12" i="4"/>
  <c r="F11" i="4"/>
  <c r="E11" i="4"/>
  <c r="E12" i="4"/>
  <c r="E13" i="4"/>
  <c r="E14" i="4"/>
  <c r="E15" i="4"/>
  <c r="W16" i="4" l="1"/>
  <c r="T16" i="4"/>
  <c r="E16" i="4"/>
  <c r="Q15" i="4"/>
  <c r="Q14" i="4"/>
  <c r="Q13" i="4"/>
  <c r="Q12" i="4"/>
  <c r="Q11" i="4"/>
  <c r="N12" i="4"/>
  <c r="N11" i="4"/>
  <c r="N10" i="4"/>
  <c r="I20" i="4"/>
  <c r="I19" i="4"/>
  <c r="I16" i="4"/>
  <c r="I15" i="4"/>
  <c r="I14" i="4"/>
  <c r="I13" i="4"/>
  <c r="I12" i="4"/>
  <c r="B12" i="4"/>
  <c r="B11" i="4"/>
  <c r="B10" i="4"/>
  <c r="I17" i="4" l="1"/>
  <c r="J19" i="4"/>
  <c r="K19" i="4" s="1"/>
  <c r="I21" i="4"/>
  <c r="J20" i="4"/>
  <c r="K20" i="4" s="1"/>
  <c r="M15" i="4"/>
  <c r="N15" i="4" s="1"/>
  <c r="N13" i="4"/>
  <c r="M16" i="4"/>
  <c r="N16" i="4" s="1"/>
  <c r="M17" i="4"/>
  <c r="N17" i="4" s="1"/>
  <c r="B13" i="4"/>
</calcChain>
</file>

<file path=xl/sharedStrings.xml><?xml version="1.0" encoding="utf-8"?>
<sst xmlns="http://schemas.openxmlformats.org/spreadsheetml/2006/main" count="875" uniqueCount="228">
  <si>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</si>
  <si>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</si>
  <si>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</si>
  <si>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</si>
  <si>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</si>
  <si>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</si>
  <si>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</si>
  <si>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</si>
  <si>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</si>
  <si>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</si>
  <si>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</si>
  <si>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</si>
  <si>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</si>
  <si>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</si>
  <si>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</si>
  <si>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</si>
  <si>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</si>
  <si>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</si>
  <si>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</si>
  <si>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</si>
  <si>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</si>
  <si>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</si>
  <si>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</si>
  <si>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</si>
  <si>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</si>
  <si>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</si>
  <si>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</si>
  <si>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</si>
  <si>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</si>
  <si>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</si>
  <si>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</si>
  <si>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</si>
  <si>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</si>
  <si>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</si>
  <si>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</si>
  <si>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</si>
  <si>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</si>
  <si>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</si>
  <si>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</si>
  <si>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</si>
  <si>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</si>
  <si>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</si>
  <si>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</si>
  <si>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</si>
  <si>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</si>
  <si>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</si>
  <si>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</si>
  <si>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</si>
  <si>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</si>
  <si>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</si>
  <si>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</si>
  <si>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</si>
  <si>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</si>
  <si>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</si>
  <si>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</si>
  <si>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</si>
  <si>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</si>
  <si>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</si>
  <si>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</si>
  <si>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</si>
  <si>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</si>
  <si>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</si>
  <si>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</si>
  <si>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</si>
  <si>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</si>
  <si>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</si>
  <si>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</si>
  <si>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</si>
  <si>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</si>
  <si>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</si>
  <si>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</si>
  <si>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</si>
  <si>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</si>
  <si>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</si>
  <si>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</si>
  <si>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</si>
  <si>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</si>
  <si>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</si>
  <si>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</si>
  <si>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</si>
  <si>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</si>
  <si>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</si>
  <si>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</si>
  <si>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</si>
  <si>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</si>
  <si>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</si>
  <si>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</si>
  <si>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</si>
  <si>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</si>
  <si>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</si>
  <si>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</si>
  <si>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</si>
  <si>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</si>
  <si>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</si>
  <si>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</si>
  <si>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</si>
  <si>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</si>
  <si>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</si>
  <si>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</si>
  <si>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</si>
  <si>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</si>
  <si>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</si>
  <si>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</si>
  <si>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</si>
  <si>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</si>
  <si>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</si>
  <si>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</si>
  <si>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</si>
  <si>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</si>
  <si>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</si>
  <si>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</si>
  <si>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</si>
  <si>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</si>
  <si>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</si>
  <si>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</si>
  <si>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</si>
  <si>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</si>
  <si>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</si>
  <si>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</si>
  <si>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</si>
  <si>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</si>
  <si>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</si>
  <si>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</si>
  <si>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</si>
  <si>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</si>
  <si>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</si>
  <si>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</si>
  <si>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</si>
  <si>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</si>
  <si>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</si>
  <si>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</si>
  <si>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</si>
  <si>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</si>
  <si>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</si>
  <si>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</si>
  <si>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</si>
  <si>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</si>
  <si>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</si>
  <si>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</si>
  <si>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</si>
  <si>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</si>
  <si>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</si>
  <si>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</si>
  <si>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</si>
  <si>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</si>
  <si>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</si>
  <si>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</si>
  <si>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</si>
  <si>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</si>
  <si>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</si>
  <si>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</si>
  <si>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</si>
  <si>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</si>
  <si>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</si>
  <si>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</si>
  <si>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</si>
  <si>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</si>
  <si>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</si>
  <si>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</si>
  <si>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</si>
  <si>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</si>
  <si>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</si>
  <si>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</si>
  <si>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</si>
  <si>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</si>
  <si>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</si>
  <si>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</si>
  <si>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</si>
  <si>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</si>
  <si>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</si>
  <si>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</si>
  <si>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</si>
  <si>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</si>
  <si>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</si>
  <si>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</si>
  <si>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</si>
  <si>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</si>
  <si>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</si>
  <si>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</si>
  <si>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</si>
  <si>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</si>
  <si>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</si>
  <si>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</si>
  <si>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</si>
  <si>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</si>
  <si>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</si>
  <si>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</si>
  <si>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</si>
  <si>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</si>
  <si>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</si>
  <si>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</si>
  <si>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</si>
  <si>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</si>
  <si>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</si>
  <si>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</si>
  <si>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</si>
  <si>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</si>
  <si>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</si>
  <si>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</si>
  <si>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</si>
  <si>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</si>
  <si>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</si>
  <si>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</si>
  <si>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</si>
  <si>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</si>
  <si>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</si>
  <si>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</si>
  <si>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</si>
  <si>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</si>
  <si>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</si>
  <si>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</si>
  <si>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</si>
  <si>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</si>
  <si>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</si>
  <si>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</si>
  <si>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</si>
  <si>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</si>
  <si>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No of Employees to Employment Status</t>
  </si>
  <si>
    <t>Total</t>
  </si>
  <si>
    <t>Sum of Salary</t>
  </si>
  <si>
    <t>Salaries To Department</t>
  </si>
  <si>
    <t>Column Labels</t>
  </si>
  <si>
    <t>Age Range To Gender</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</si>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</sst>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0.0"/>
  </numFmts>
  <fonts count="6">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282828"/>
        <bgColor indexed="64"/>
      </patternFill>
    </fill>
    <fill>
      <patternFill patternType="solid">
        <fgColor theme="7" tint="0.79998168889431442"/>
        <bgColor indexed="64"/>
      </patternFill>
    </fill>
    <fill>
      <patternFill patternType="solid">
        <fgColor theme="0"/>
        <bgColor indexed="64"/>
      </patternFill>
    </fill>
  </fills>
  <borders count="6">
    <border>
      <left/>
      <right/>
      <top/>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28">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0" fillId="0" borderId="2" xfId="0" applyFill="1" applyBorder="1" applyAlignment="1">
      <alignment horizontal="left"/>
    </xf>
    <xf numFmtId="0" fontId="5" fillId="3" borderId="2" xfId="0" applyFont="1" applyFill="1" applyBorder="1" applyAlignment="1">
      <alignment horizontal="center" vertical="center"/>
    </xf>
    <xf numFmtId="166" fontId="0" fillId="0" borderId="2" xfId="0" applyNumberFormat="1" applyBorder="1"/>
    <xf numFmtId="10" fontId="5" fillId="0" borderId="0" xfId="0" applyNumberFormat="1" applyFont="1"/>
    <xf numFmtId="0" fontId="0" fillId="3" borderId="2" xfId="0" applyFill="1" applyBorder="1" applyAlignment="1">
      <alignment horizontal="center" vertical="center"/>
    </xf>
    <xf numFmtId="0" fontId="0" fillId="0" borderId="3" xfId="0" applyBorder="1" applyAlignment="1">
      <alignment horizontal="left"/>
    </xf>
    <xf numFmtId="0" fontId="0" fillId="0" borderId="3" xfId="0" applyNumberFormat="1" applyBorder="1"/>
    <xf numFmtId="0" fontId="0" fillId="0" borderId="5" xfId="0" applyBorder="1" applyAlignment="1">
      <alignment horizontal="left"/>
    </xf>
    <xf numFmtId="0" fontId="0" fillId="0" borderId="5" xfId="0" applyNumberFormat="1" applyBorder="1"/>
    <xf numFmtId="0" fontId="0" fillId="0" borderId="4" xfId="0" applyNumberFormat="1" applyBorder="1"/>
    <xf numFmtId="166" fontId="0" fillId="0" borderId="4" xfId="0" applyNumberFormat="1" applyBorder="1"/>
    <xf numFmtId="166" fontId="0" fillId="0" borderId="3" xfId="0" applyNumberFormat="1" applyBorder="1"/>
    <xf numFmtId="166" fontId="5" fillId="0" borderId="2" xfId="0" applyNumberFormat="1" applyFont="1" applyBorder="1"/>
    <xf numFmtId="0" fontId="0" fillId="0" borderId="4" xfId="0" applyBorder="1" applyAlignment="1">
      <alignment horizontal="left"/>
    </xf>
    <xf numFmtId="9" fontId="5" fillId="0" borderId="2" xfId="1" applyFont="1" applyBorder="1"/>
    <xf numFmtId="9" fontId="0" fillId="0" borderId="2" xfId="0" applyNumberFormat="1" applyBorder="1"/>
    <xf numFmtId="0" fontId="0" fillId="4" borderId="0" xfId="0" applyFill="1"/>
    <xf numFmtId="0" fontId="2" fillId="4" borderId="0" xfId="0" applyFont="1" applyFill="1"/>
    <xf numFmtId="0" fontId="5" fillId="4" borderId="0" xfId="0" applyFont="1" applyFill="1"/>
    <xf numFmtId="0" fontId="0" fillId="4" borderId="0" xfId="0" applyFill="1" applyAlignment="1">
      <alignment horizontal="left"/>
    </xf>
  </cellXfs>
  <cellStyles count="2">
    <cellStyle name="Normal" xfId="0" builtinId="0"/>
    <cellStyle name="Percent" xfId="1" builtinId="5"/>
  </cellStyles>
  <dxfs count="2162">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vertical style="thin">
          <color indexed="64"/>
        </vertical>
      </border>
    </dxf>
    <dxf>
      <border>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6" formatCode="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fill>
        <patternFill>
          <bgColor rgb="FF1F1F1F"/>
        </patternFill>
      </fill>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2" defaultTableStyle="TableStyleMedium2" defaultPivotStyle="PivotStyleLight16">
    <tableStyle name="Slicer Style 1" pivot="0" table="0" count="5" xr9:uid="{F38D011D-24F9-488D-ABC0-98A3AB20054A}">
      <tableStyleElement type="wholeTable" dxfId="2138"/>
    </tableStyle>
    <tableStyle name="Slicer Style 2" pivot="0" table="0" count="0" xr9:uid="{CFE115CA-72B1-4F24-9103-65839E7F755D}"/>
  </tableStyles>
  <colors>
    <mruColors>
      <color rgb="FF1F1F1F"/>
      <color rgb="FFFFC000"/>
      <color rgb="FFE5B244"/>
      <color rgb="FF77933C"/>
      <color rgb="FF948A54"/>
      <color rgb="FF282828"/>
    </mruColors>
  </colors>
  <extLst>
    <ext xmlns:x14="http://schemas.microsoft.com/office/spreadsheetml/2009/9/main" uri="{46F421CA-312F-682f-3DD2-61675219B42D}">
      <x14:dxfs count="4">
        <dxf>
          <font>
            <color rgb="FF1F1F1F"/>
          </font>
          <fill>
            <patternFill>
              <bgColor rgb="FFFFC000"/>
            </patternFill>
          </fill>
        </dxf>
        <dxf>
          <font>
            <color rgb="FF1F1F1F"/>
          </font>
          <fill>
            <patternFill>
              <bgColor rgb="FFFFC000"/>
            </patternFill>
          </fill>
        </dxf>
        <dxf>
          <font>
            <sz val="10"/>
            <color rgb="FF1F1F1F"/>
          </font>
          <fill>
            <patternFill>
              <bgColor rgb="FFFFC000"/>
            </patternFill>
          </fill>
        </dxf>
        <dxf>
          <font>
            <color rgb="FFFFC000"/>
          </font>
          <fill>
            <patternFill>
              <bgColor rgb="FF1F1F1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0"/>
            <x14:slicerStyleElement type="hoveredSelectedItemWithData" dxfId="1"/>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19174573607311"/>
          <c:y val="8.2151669375108261E-2"/>
          <c:w val="0.713795331509401"/>
          <c:h val="0.88133647756928812"/>
        </c:manualLayout>
      </c:layout>
      <c:pieChart>
        <c:varyColors val="1"/>
        <c:ser>
          <c:idx val="0"/>
          <c:order val="0"/>
          <c:spPr>
            <a:ln w="31750">
              <a:solidFill>
                <a:schemeClr val="accent1">
                  <a:shade val="15000"/>
                  <a:alpha val="94000"/>
                </a:schemeClr>
              </a:solidFill>
            </a:ln>
          </c:spPr>
          <c:dPt>
            <c:idx val="0"/>
            <c:bubble3D val="0"/>
            <c:spPr>
              <a:solidFill>
                <a:srgbClr val="E5B244"/>
              </a:solidFill>
              <a:ln w="31750">
                <a:solidFill>
                  <a:schemeClr val="accent1">
                    <a:shade val="15000"/>
                    <a:alpha val="94000"/>
                  </a:schemeClr>
                </a:solidFill>
              </a:ln>
              <a:effectLst/>
            </c:spPr>
            <c:extLst>
              <c:ext xmlns:c16="http://schemas.microsoft.com/office/drawing/2014/chart" uri="{C3380CC4-5D6E-409C-BE32-E72D297353CC}">
                <c16:uniqueId val="{00000001-D105-426D-8C45-21AA6C8F3CBA}"/>
              </c:ext>
            </c:extLst>
          </c:dPt>
          <c:dPt>
            <c:idx val="1"/>
            <c:bubble3D val="0"/>
            <c:spPr>
              <a:solidFill>
                <a:schemeClr val="tx1">
                  <a:lumMod val="65000"/>
                  <a:lumOff val="35000"/>
                </a:schemeClr>
              </a:solidFill>
              <a:ln w="31750">
                <a:solidFill>
                  <a:schemeClr val="accent1">
                    <a:shade val="15000"/>
                    <a:alpha val="94000"/>
                  </a:schemeClr>
                </a:solidFill>
              </a:ln>
              <a:effectLst/>
            </c:spPr>
            <c:extLst>
              <c:ext xmlns:c16="http://schemas.microsoft.com/office/drawing/2014/chart" uri="{C3380CC4-5D6E-409C-BE32-E72D297353CC}">
                <c16:uniqueId val="{00000003-D105-426D-8C45-21AA6C8F3CBA}"/>
              </c:ext>
            </c:extLst>
          </c:dPt>
          <c:dPt>
            <c:idx val="2"/>
            <c:bubble3D val="0"/>
            <c:spPr>
              <a:solidFill>
                <a:schemeClr val="bg2">
                  <a:lumMod val="90000"/>
                </a:schemeClr>
              </a:solidFill>
              <a:ln w="31750">
                <a:solidFill>
                  <a:schemeClr val="accent1">
                    <a:shade val="15000"/>
                    <a:alpha val="94000"/>
                  </a:schemeClr>
                </a:solidFill>
              </a:ln>
              <a:effectLst/>
            </c:spPr>
            <c:extLst>
              <c:ext xmlns:c16="http://schemas.microsoft.com/office/drawing/2014/chart" uri="{C3380CC4-5D6E-409C-BE32-E72D297353CC}">
                <c16:uniqueId val="{00000005-D105-426D-8C45-21AA6C8F3CBA}"/>
              </c:ext>
            </c:extLst>
          </c:dPt>
          <c:cat>
            <c:strRef>
              <c:f>'Pivote Table'!$A$10:$A$12</c:f>
              <c:strCache>
                <c:ptCount val="3"/>
                <c:pt idx="0">
                  <c:v>Contract</c:v>
                </c:pt>
                <c:pt idx="1">
                  <c:v>Full-Time</c:v>
                </c:pt>
                <c:pt idx="2">
                  <c:v>Part-Time</c:v>
                </c:pt>
              </c:strCache>
            </c:strRef>
          </c:cat>
          <c:val>
            <c:numRef>
              <c:f>'Pivote Table'!$B$10:$B$12</c:f>
              <c:numCache>
                <c:formatCode>General</c:formatCode>
                <c:ptCount val="3"/>
                <c:pt idx="0">
                  <c:v>17</c:v>
                </c:pt>
                <c:pt idx="1">
                  <c:v>20</c:v>
                </c:pt>
                <c:pt idx="2">
                  <c:v>13</c:v>
                </c:pt>
              </c:numCache>
            </c:numRef>
          </c:val>
          <c:extLst>
            <c:ext xmlns:c16="http://schemas.microsoft.com/office/drawing/2014/chart" uri="{C3380CC4-5D6E-409C-BE32-E72D297353CC}">
              <c16:uniqueId val="{00000006-D105-426D-8C45-21AA6C8F3CB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DashBoard.xlsx]Pivote Table!PivotTable3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Table'!$I$3:$I$4</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Table'!$H$5:$H$10</c:f>
              <c:strCache>
                <c:ptCount val="5"/>
                <c:pt idx="0">
                  <c:v>18-25</c:v>
                </c:pt>
                <c:pt idx="1">
                  <c:v>26-35</c:v>
                </c:pt>
                <c:pt idx="2">
                  <c:v>36-45</c:v>
                </c:pt>
                <c:pt idx="3">
                  <c:v>46-55</c:v>
                </c:pt>
                <c:pt idx="4">
                  <c:v>56 &lt;</c:v>
                </c:pt>
              </c:strCache>
            </c:strRef>
          </c:cat>
          <c:val>
            <c:numRef>
              <c:f>'Pivote Table'!$I$5:$I$10</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C179-4FFF-B6C5-66726DE69B02}"/>
            </c:ext>
          </c:extLst>
        </c:ser>
        <c:ser>
          <c:idx val="1"/>
          <c:order val="1"/>
          <c:tx>
            <c:strRef>
              <c:f>'Pivote Table'!$J$3:$J$4</c:f>
              <c:strCache>
                <c:ptCount val="1"/>
                <c:pt idx="0">
                  <c:v>Male</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Table'!$H$5:$H$10</c:f>
              <c:strCache>
                <c:ptCount val="5"/>
                <c:pt idx="0">
                  <c:v>18-25</c:v>
                </c:pt>
                <c:pt idx="1">
                  <c:v>26-35</c:v>
                </c:pt>
                <c:pt idx="2">
                  <c:v>36-45</c:v>
                </c:pt>
                <c:pt idx="3">
                  <c:v>46-55</c:v>
                </c:pt>
                <c:pt idx="4">
                  <c:v>56 &lt;</c:v>
                </c:pt>
              </c:strCache>
            </c:strRef>
          </c:cat>
          <c:val>
            <c:numRef>
              <c:f>'Pivote Table'!$J$5:$J$10</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5-C179-4FFF-B6C5-66726DE69B02}"/>
            </c:ext>
          </c:extLst>
        </c:ser>
        <c:dLbls>
          <c:dLblPos val="outEnd"/>
          <c:showLegendKey val="0"/>
          <c:showVal val="1"/>
          <c:showCatName val="0"/>
          <c:showSerName val="0"/>
          <c:showPercent val="0"/>
          <c:showBubbleSize val="0"/>
        </c:dLbls>
        <c:gapWidth val="219"/>
        <c:overlap val="-27"/>
        <c:axId val="355039327"/>
        <c:axId val="355040767"/>
      </c:barChart>
      <c:catAx>
        <c:axId val="355039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355040767"/>
        <c:crosses val="autoZero"/>
        <c:auto val="1"/>
        <c:lblAlgn val="ctr"/>
        <c:lblOffset val="100"/>
        <c:noMultiLvlLbl val="0"/>
      </c:catAx>
      <c:valAx>
        <c:axId val="355040767"/>
        <c:scaling>
          <c:orientation val="minMax"/>
        </c:scaling>
        <c:delete val="1"/>
        <c:axPos val="l"/>
        <c:majorGridlines>
          <c:spPr>
            <a:ln w="9525" cap="flat" cmpd="sng" algn="ctr">
              <a:solidFill>
                <a:srgbClr val="E5B244">
                  <a:alpha val="35000"/>
                </a:srgbClr>
              </a:solidFill>
              <a:prstDash val="lgDashDotDot"/>
              <a:round/>
            </a:ln>
            <a:effectLst/>
          </c:spPr>
        </c:majorGridlines>
        <c:numFmt formatCode="General" sourceLinked="1"/>
        <c:majorTickMark val="out"/>
        <c:minorTickMark val="none"/>
        <c:tickLblPos val="nextTo"/>
        <c:crossAx val="35503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lumMod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565011820330964E-2"/>
          <c:y val="0.2838441890166028"/>
          <c:w val="0.83486997635933802"/>
          <c:h val="0.55395913154533849"/>
        </c:manualLayout>
      </c:layout>
      <c:barChart>
        <c:barDir val="bar"/>
        <c:grouping val="percentStacked"/>
        <c:varyColors val="0"/>
        <c:ser>
          <c:idx val="0"/>
          <c:order val="0"/>
          <c:spPr>
            <a:solidFill>
              <a:srgbClr val="E5B244"/>
            </a:solidFill>
            <a:ln>
              <a:noFill/>
            </a:ln>
            <a:effectLst/>
          </c:spPr>
          <c:invertIfNegative val="0"/>
          <c:val>
            <c:numRef>
              <c:f>'Pivote Table'!$M$15</c:f>
              <c:numCache>
                <c:formatCode>0%</c:formatCode>
                <c:ptCount val="1"/>
                <c:pt idx="0">
                  <c:v>0.46</c:v>
                </c:pt>
              </c:numCache>
            </c:numRef>
          </c:val>
          <c:extLst>
            <c:ext xmlns:c16="http://schemas.microsoft.com/office/drawing/2014/chart" uri="{C3380CC4-5D6E-409C-BE32-E72D297353CC}">
              <c16:uniqueId val="{00000000-4D2C-4446-8DF0-B0D7CD04BF4A}"/>
            </c:ext>
          </c:extLst>
        </c:ser>
        <c:ser>
          <c:idx val="1"/>
          <c:order val="1"/>
          <c:spPr>
            <a:solidFill>
              <a:srgbClr val="1F1F1F"/>
            </a:solidFill>
            <a:ln>
              <a:noFill/>
            </a:ln>
            <a:effectLst/>
          </c:spPr>
          <c:invertIfNegative val="0"/>
          <c:val>
            <c:numRef>
              <c:f>'Pivote Table'!$N$15</c:f>
              <c:numCache>
                <c:formatCode>0%</c:formatCode>
                <c:ptCount val="1"/>
                <c:pt idx="0">
                  <c:v>0.54</c:v>
                </c:pt>
              </c:numCache>
            </c:numRef>
          </c:val>
          <c:extLst>
            <c:ext xmlns:c16="http://schemas.microsoft.com/office/drawing/2014/chart" uri="{C3380CC4-5D6E-409C-BE32-E72D297353CC}">
              <c16:uniqueId val="{00000001-4D2C-4446-8DF0-B0D7CD04BF4A}"/>
            </c:ext>
          </c:extLst>
        </c:ser>
        <c:dLbls>
          <c:showLegendKey val="0"/>
          <c:showVal val="0"/>
          <c:showCatName val="0"/>
          <c:showSerName val="0"/>
          <c:showPercent val="0"/>
          <c:showBubbleSize val="0"/>
        </c:dLbls>
        <c:gapWidth val="150"/>
        <c:overlap val="100"/>
        <c:axId val="344077391"/>
        <c:axId val="344077871"/>
      </c:barChart>
      <c:catAx>
        <c:axId val="344077391"/>
        <c:scaling>
          <c:orientation val="minMax"/>
        </c:scaling>
        <c:delete val="1"/>
        <c:axPos val="l"/>
        <c:majorTickMark val="none"/>
        <c:minorTickMark val="none"/>
        <c:tickLblPos val="nextTo"/>
        <c:crossAx val="344077871"/>
        <c:crosses val="autoZero"/>
        <c:auto val="1"/>
        <c:lblAlgn val="ctr"/>
        <c:lblOffset val="100"/>
        <c:noMultiLvlLbl val="0"/>
      </c:catAx>
      <c:valAx>
        <c:axId val="344077871"/>
        <c:scaling>
          <c:orientation val="minMax"/>
        </c:scaling>
        <c:delete val="1"/>
        <c:axPos val="b"/>
        <c:numFmt formatCode="0%" sourceLinked="1"/>
        <c:majorTickMark val="none"/>
        <c:minorTickMark val="none"/>
        <c:tickLblPos val="nextTo"/>
        <c:crossAx val="34407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'Pivote Table'!$M$16</c:f>
              <c:numCache>
                <c:formatCode>0%</c:formatCode>
                <c:ptCount val="1"/>
                <c:pt idx="0">
                  <c:v>0.16</c:v>
                </c:pt>
              </c:numCache>
            </c:numRef>
          </c:val>
          <c:extLst>
            <c:ext xmlns:c16="http://schemas.microsoft.com/office/drawing/2014/chart" uri="{C3380CC4-5D6E-409C-BE32-E72D297353CC}">
              <c16:uniqueId val="{00000000-DD23-4BDD-B49A-B16D10011CDE}"/>
            </c:ext>
          </c:extLst>
        </c:ser>
        <c:ser>
          <c:idx val="1"/>
          <c:order val="1"/>
          <c:spPr>
            <a:solidFill>
              <a:srgbClr val="1F1F1F"/>
            </a:solidFill>
            <a:ln>
              <a:noFill/>
            </a:ln>
            <a:effectLst/>
          </c:spPr>
          <c:invertIfNegative val="0"/>
          <c:val>
            <c:numRef>
              <c:f>'Pivote Table'!$N$16</c:f>
              <c:numCache>
                <c:formatCode>0%</c:formatCode>
                <c:ptCount val="1"/>
                <c:pt idx="0">
                  <c:v>0.84</c:v>
                </c:pt>
              </c:numCache>
            </c:numRef>
          </c:val>
          <c:extLst>
            <c:ext xmlns:c16="http://schemas.microsoft.com/office/drawing/2014/chart" uri="{C3380CC4-5D6E-409C-BE32-E72D297353CC}">
              <c16:uniqueId val="{00000001-DD23-4BDD-B49A-B16D10011CDE}"/>
            </c:ext>
          </c:extLst>
        </c:ser>
        <c:dLbls>
          <c:showLegendKey val="0"/>
          <c:showVal val="0"/>
          <c:showCatName val="0"/>
          <c:showSerName val="0"/>
          <c:showPercent val="0"/>
          <c:showBubbleSize val="0"/>
        </c:dLbls>
        <c:gapWidth val="150"/>
        <c:overlap val="100"/>
        <c:axId val="30825487"/>
        <c:axId val="30826447"/>
      </c:barChart>
      <c:catAx>
        <c:axId val="30825487"/>
        <c:scaling>
          <c:orientation val="minMax"/>
        </c:scaling>
        <c:delete val="1"/>
        <c:axPos val="l"/>
        <c:majorTickMark val="none"/>
        <c:minorTickMark val="none"/>
        <c:tickLblPos val="nextTo"/>
        <c:crossAx val="30826447"/>
        <c:crosses val="autoZero"/>
        <c:auto val="1"/>
        <c:lblAlgn val="ctr"/>
        <c:lblOffset val="100"/>
        <c:noMultiLvlLbl val="0"/>
      </c:catAx>
      <c:valAx>
        <c:axId val="30826447"/>
        <c:scaling>
          <c:orientation val="minMax"/>
        </c:scaling>
        <c:delete val="1"/>
        <c:axPos val="b"/>
        <c:numFmt formatCode="0%" sourceLinked="1"/>
        <c:majorTickMark val="none"/>
        <c:minorTickMark val="none"/>
        <c:tickLblPos val="nextTo"/>
        <c:crossAx val="3082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565011820330964E-2"/>
          <c:y val="0.24329501915708812"/>
          <c:w val="0.83486997635933802"/>
          <c:h val="0.55395913154533849"/>
        </c:manualLayout>
      </c:layout>
      <c:barChart>
        <c:barDir val="bar"/>
        <c:grouping val="percentStacked"/>
        <c:varyColors val="0"/>
        <c:ser>
          <c:idx val="0"/>
          <c:order val="0"/>
          <c:spPr>
            <a:solidFill>
              <a:srgbClr val="E5B244"/>
            </a:solidFill>
            <a:ln>
              <a:noFill/>
            </a:ln>
            <a:effectLst/>
          </c:spPr>
          <c:invertIfNegative val="0"/>
          <c:val>
            <c:numRef>
              <c:f>'Pivote Table'!$M$17</c:f>
              <c:numCache>
                <c:formatCode>0%</c:formatCode>
                <c:ptCount val="1"/>
                <c:pt idx="0">
                  <c:v>0.38</c:v>
                </c:pt>
              </c:numCache>
            </c:numRef>
          </c:val>
          <c:extLst>
            <c:ext xmlns:c16="http://schemas.microsoft.com/office/drawing/2014/chart" uri="{C3380CC4-5D6E-409C-BE32-E72D297353CC}">
              <c16:uniqueId val="{00000000-4B93-4C81-9FEE-0C55AE478BF5}"/>
            </c:ext>
          </c:extLst>
        </c:ser>
        <c:ser>
          <c:idx val="1"/>
          <c:order val="1"/>
          <c:spPr>
            <a:solidFill>
              <a:srgbClr val="1F1F1F"/>
            </a:solidFill>
            <a:ln>
              <a:noFill/>
            </a:ln>
            <a:effectLst/>
          </c:spPr>
          <c:invertIfNegative val="0"/>
          <c:val>
            <c:numRef>
              <c:f>'Pivote Table'!$N$17</c:f>
              <c:numCache>
                <c:formatCode>0%</c:formatCode>
                <c:ptCount val="1"/>
                <c:pt idx="0">
                  <c:v>0.62</c:v>
                </c:pt>
              </c:numCache>
            </c:numRef>
          </c:val>
          <c:extLst>
            <c:ext xmlns:c16="http://schemas.microsoft.com/office/drawing/2014/chart" uri="{C3380CC4-5D6E-409C-BE32-E72D297353CC}">
              <c16:uniqueId val="{00000001-4B93-4C81-9FEE-0C55AE478BF5}"/>
            </c:ext>
          </c:extLst>
        </c:ser>
        <c:dLbls>
          <c:showLegendKey val="0"/>
          <c:showVal val="0"/>
          <c:showCatName val="0"/>
          <c:showSerName val="0"/>
          <c:showPercent val="0"/>
          <c:showBubbleSize val="0"/>
        </c:dLbls>
        <c:gapWidth val="150"/>
        <c:overlap val="100"/>
        <c:axId val="1597101695"/>
        <c:axId val="1597104095"/>
      </c:barChart>
      <c:catAx>
        <c:axId val="1597101695"/>
        <c:scaling>
          <c:orientation val="minMax"/>
        </c:scaling>
        <c:delete val="1"/>
        <c:axPos val="l"/>
        <c:majorTickMark val="none"/>
        <c:minorTickMark val="none"/>
        <c:tickLblPos val="nextTo"/>
        <c:crossAx val="1597104095"/>
        <c:crosses val="autoZero"/>
        <c:auto val="1"/>
        <c:lblAlgn val="ctr"/>
        <c:lblOffset val="100"/>
        <c:noMultiLvlLbl val="0"/>
      </c:catAx>
      <c:valAx>
        <c:axId val="1597104095"/>
        <c:scaling>
          <c:orientation val="minMax"/>
        </c:scaling>
        <c:delete val="1"/>
        <c:axPos val="b"/>
        <c:numFmt formatCode="0%" sourceLinked="1"/>
        <c:majorTickMark val="none"/>
        <c:minorTickMark val="none"/>
        <c:tickLblPos val="nextTo"/>
        <c:crossAx val="159710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2">
                  <a:lumMod val="90000"/>
                </a:schemeClr>
              </a:solidFill>
              <a:ln w="19050">
                <a:noFill/>
              </a:ln>
              <a:effectLst/>
            </c:spPr>
            <c:extLst>
              <c:ext xmlns:c16="http://schemas.microsoft.com/office/drawing/2014/chart" uri="{C3380CC4-5D6E-409C-BE32-E72D297353CC}">
                <c16:uniqueId val="{00000001-4583-48A3-BFAD-E682049E15D9}"/>
              </c:ext>
            </c:extLst>
          </c:dPt>
          <c:dPt>
            <c:idx val="1"/>
            <c:bubble3D val="0"/>
            <c:spPr>
              <a:solidFill>
                <a:srgbClr val="1F1F1F"/>
              </a:solidFill>
              <a:ln w="19050">
                <a:noFill/>
              </a:ln>
              <a:effectLst/>
            </c:spPr>
            <c:extLst>
              <c:ext xmlns:c16="http://schemas.microsoft.com/office/drawing/2014/chart" uri="{C3380CC4-5D6E-409C-BE32-E72D297353CC}">
                <c16:uniqueId val="{00000003-4583-48A3-BFAD-E682049E15D9}"/>
              </c:ext>
            </c:extLst>
          </c:dPt>
          <c:val>
            <c:numRef>
              <c:f>'Pivote Table'!$J$20:$K$20</c:f>
              <c:numCache>
                <c:formatCode>0%</c:formatCode>
                <c:ptCount val="2"/>
                <c:pt idx="0">
                  <c:v>0.52</c:v>
                </c:pt>
                <c:pt idx="1">
                  <c:v>0.48</c:v>
                </c:pt>
              </c:numCache>
            </c:numRef>
          </c:val>
          <c:extLst>
            <c:ext xmlns:c16="http://schemas.microsoft.com/office/drawing/2014/chart" uri="{C3380CC4-5D6E-409C-BE32-E72D297353CC}">
              <c16:uniqueId val="{00000004-4583-48A3-BFAD-E682049E15D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E5B244"/>
              </a:solidFill>
              <a:ln w="19050">
                <a:noFill/>
              </a:ln>
              <a:effectLst/>
            </c:spPr>
            <c:extLst>
              <c:ext xmlns:c16="http://schemas.microsoft.com/office/drawing/2014/chart" uri="{C3380CC4-5D6E-409C-BE32-E72D297353CC}">
                <c16:uniqueId val="{00000001-5B39-486C-9BF3-3F8CB3594715}"/>
              </c:ext>
            </c:extLst>
          </c:dPt>
          <c:dPt>
            <c:idx val="1"/>
            <c:bubble3D val="0"/>
            <c:spPr>
              <a:solidFill>
                <a:srgbClr val="1F1F1F"/>
              </a:solidFill>
              <a:ln w="19050">
                <a:noFill/>
              </a:ln>
              <a:effectLst/>
            </c:spPr>
            <c:extLst>
              <c:ext xmlns:c16="http://schemas.microsoft.com/office/drawing/2014/chart" uri="{C3380CC4-5D6E-409C-BE32-E72D297353CC}">
                <c16:uniqueId val="{00000003-5B39-486C-9BF3-3F8CB3594715}"/>
              </c:ext>
            </c:extLst>
          </c:dPt>
          <c:val>
            <c:numRef>
              <c:f>'Pivote Table'!$J$19:$K$19</c:f>
              <c:numCache>
                <c:formatCode>0%</c:formatCode>
                <c:ptCount val="2"/>
                <c:pt idx="0">
                  <c:v>0.48</c:v>
                </c:pt>
                <c:pt idx="1">
                  <c:v>0.52</c:v>
                </c:pt>
              </c:numCache>
            </c:numRef>
          </c:val>
          <c:extLst>
            <c:ext xmlns:c16="http://schemas.microsoft.com/office/drawing/2014/chart" uri="{C3380CC4-5D6E-409C-BE32-E72D297353CC}">
              <c16:uniqueId val="{00000004-5B39-486C-9BF3-3F8CB35947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886530973731768E-2"/>
          <c:y val="7.7728697357168655E-2"/>
          <c:w val="0.97352244837711377"/>
          <c:h val="0.64580195484613667"/>
        </c:manualLayout>
      </c:layout>
      <c:barChart>
        <c:barDir val="col"/>
        <c:grouping val="clustered"/>
        <c:varyColors val="0"/>
        <c:ser>
          <c:idx val="0"/>
          <c:order val="0"/>
          <c:tx>
            <c:strRef>
              <c:f>'Pivote Table'!$D$11</c:f>
              <c:strCache>
                <c:ptCount val="1"/>
                <c:pt idx="0">
                  <c:v>Analyst</c:v>
                </c:pt>
              </c:strCache>
            </c:strRef>
          </c:tx>
          <c:spPr>
            <a:solidFill>
              <a:srgbClr val="77933C"/>
            </a:solidFill>
            <a:ln>
              <a:noFill/>
            </a:ln>
            <a:effectLst/>
          </c:spPr>
          <c:invertIfNegative val="0"/>
          <c:val>
            <c:numRef>
              <c:f>'Pivote Table'!$F$11</c:f>
              <c:numCache>
                <c:formatCode>General</c:formatCode>
                <c:ptCount val="1"/>
                <c:pt idx="0">
                  <c:v>28</c:v>
                </c:pt>
              </c:numCache>
            </c:numRef>
          </c:val>
          <c:extLst>
            <c:ext xmlns:c16="http://schemas.microsoft.com/office/drawing/2014/chart" uri="{C3380CC4-5D6E-409C-BE32-E72D297353CC}">
              <c16:uniqueId val="{00000000-5A8F-45C3-AF7A-A27940096DCF}"/>
            </c:ext>
          </c:extLst>
        </c:ser>
        <c:ser>
          <c:idx val="1"/>
          <c:order val="1"/>
          <c:tx>
            <c:strRef>
              <c:f>'Pivote Table'!$D$12</c:f>
              <c:strCache>
                <c:ptCount val="1"/>
                <c:pt idx="0">
                  <c:v>Designer</c:v>
                </c:pt>
              </c:strCache>
            </c:strRef>
          </c:tx>
          <c:spPr>
            <a:solidFill>
              <a:schemeClr val="bg2">
                <a:lumMod val="50000"/>
              </a:schemeClr>
            </a:solidFill>
            <a:ln>
              <a:noFill/>
            </a:ln>
            <a:effectLst/>
          </c:spPr>
          <c:invertIfNegative val="0"/>
          <c:val>
            <c:numRef>
              <c:f>'Pivote Table'!$F$12</c:f>
              <c:numCache>
                <c:formatCode>General</c:formatCode>
                <c:ptCount val="1"/>
                <c:pt idx="0">
                  <c:v>110</c:v>
                </c:pt>
              </c:numCache>
            </c:numRef>
          </c:val>
          <c:extLst>
            <c:ext xmlns:c16="http://schemas.microsoft.com/office/drawing/2014/chart" uri="{C3380CC4-5D6E-409C-BE32-E72D297353CC}">
              <c16:uniqueId val="{00000001-5A8F-45C3-AF7A-A27940096DCF}"/>
            </c:ext>
          </c:extLst>
        </c:ser>
        <c:ser>
          <c:idx val="2"/>
          <c:order val="2"/>
          <c:tx>
            <c:strRef>
              <c:f>'Pivote Table'!$D$13</c:f>
              <c:strCache>
                <c:ptCount val="1"/>
                <c:pt idx="0">
                  <c:v>Developer</c:v>
                </c:pt>
              </c:strCache>
            </c:strRef>
          </c:tx>
          <c:spPr>
            <a:solidFill>
              <a:srgbClr val="948A54"/>
            </a:solidFill>
            <a:ln>
              <a:noFill/>
            </a:ln>
            <a:effectLst/>
          </c:spPr>
          <c:invertIfNegative val="0"/>
          <c:val>
            <c:numRef>
              <c:f>'Pivote Table'!$F$13</c:f>
              <c:numCache>
                <c:formatCode>General</c:formatCode>
                <c:ptCount val="1"/>
                <c:pt idx="0">
                  <c:v>104</c:v>
                </c:pt>
              </c:numCache>
            </c:numRef>
          </c:val>
          <c:extLst>
            <c:ext xmlns:c16="http://schemas.microsoft.com/office/drawing/2014/chart" uri="{C3380CC4-5D6E-409C-BE32-E72D297353CC}">
              <c16:uniqueId val="{00000002-5A8F-45C3-AF7A-A27940096DCF}"/>
            </c:ext>
          </c:extLst>
        </c:ser>
        <c:ser>
          <c:idx val="3"/>
          <c:order val="3"/>
          <c:tx>
            <c:strRef>
              <c:f>'Pivote Table'!$D$14</c:f>
              <c:strCache>
                <c:ptCount val="1"/>
                <c:pt idx="0">
                  <c:v>HR Specialist</c:v>
                </c:pt>
              </c:strCache>
            </c:strRef>
          </c:tx>
          <c:spPr>
            <a:solidFill>
              <a:schemeClr val="bg1">
                <a:lumMod val="85000"/>
              </a:schemeClr>
            </a:solidFill>
            <a:ln>
              <a:noFill/>
            </a:ln>
            <a:effectLst/>
          </c:spPr>
          <c:invertIfNegative val="0"/>
          <c:val>
            <c:numRef>
              <c:f>'Pivote Table'!$F$14</c:f>
              <c:numCache>
                <c:formatCode>General</c:formatCode>
                <c:ptCount val="1"/>
                <c:pt idx="0">
                  <c:v>123</c:v>
                </c:pt>
              </c:numCache>
            </c:numRef>
          </c:val>
          <c:extLst>
            <c:ext xmlns:c16="http://schemas.microsoft.com/office/drawing/2014/chart" uri="{C3380CC4-5D6E-409C-BE32-E72D297353CC}">
              <c16:uniqueId val="{00000003-5A8F-45C3-AF7A-A27940096DCF}"/>
            </c:ext>
          </c:extLst>
        </c:ser>
        <c:ser>
          <c:idx val="4"/>
          <c:order val="4"/>
          <c:tx>
            <c:strRef>
              <c:f>'Pivote Table'!$D$15</c:f>
              <c:strCache>
                <c:ptCount val="1"/>
                <c:pt idx="0">
                  <c:v>Manager</c:v>
                </c:pt>
              </c:strCache>
            </c:strRef>
          </c:tx>
          <c:spPr>
            <a:solidFill>
              <a:srgbClr val="E5B244"/>
            </a:solidFill>
            <a:ln>
              <a:noFill/>
            </a:ln>
            <a:effectLst/>
          </c:spPr>
          <c:invertIfNegative val="0"/>
          <c:val>
            <c:numRef>
              <c:f>'Pivote Table'!$F$15</c:f>
              <c:numCache>
                <c:formatCode>General</c:formatCode>
                <c:ptCount val="1"/>
                <c:pt idx="0">
                  <c:v>122</c:v>
                </c:pt>
              </c:numCache>
            </c:numRef>
          </c:val>
          <c:extLst>
            <c:ext xmlns:c16="http://schemas.microsoft.com/office/drawing/2014/chart" uri="{C3380CC4-5D6E-409C-BE32-E72D297353CC}">
              <c16:uniqueId val="{00000004-5A8F-45C3-AF7A-A27940096DCF}"/>
            </c:ext>
          </c:extLst>
        </c:ser>
        <c:dLbls>
          <c:showLegendKey val="0"/>
          <c:showVal val="0"/>
          <c:showCatName val="0"/>
          <c:showSerName val="0"/>
          <c:showPercent val="0"/>
          <c:showBubbleSize val="0"/>
        </c:dLbls>
        <c:gapWidth val="219"/>
        <c:overlap val="-27"/>
        <c:axId val="1614873231"/>
        <c:axId val="1614871791"/>
      </c:barChart>
      <c:catAx>
        <c:axId val="1614873231"/>
        <c:scaling>
          <c:orientation val="minMax"/>
        </c:scaling>
        <c:delete val="1"/>
        <c:axPos val="b"/>
        <c:numFmt formatCode="General" sourceLinked="1"/>
        <c:majorTickMark val="none"/>
        <c:minorTickMark val="none"/>
        <c:tickLblPos val="nextTo"/>
        <c:crossAx val="1614871791"/>
        <c:crosses val="autoZero"/>
        <c:auto val="1"/>
        <c:lblAlgn val="ctr"/>
        <c:lblOffset val="100"/>
        <c:noMultiLvlLbl val="0"/>
      </c:catAx>
      <c:valAx>
        <c:axId val="1614871791"/>
        <c:scaling>
          <c:orientation val="minMax"/>
        </c:scaling>
        <c:delete val="1"/>
        <c:axPos val="l"/>
        <c:majorGridlines>
          <c:spPr>
            <a:ln w="9525" cap="rnd" cmpd="sng" algn="ctr">
              <a:solidFill>
                <a:srgbClr val="E5B244">
                  <a:alpha val="35000"/>
                </a:srgbClr>
              </a:solidFill>
              <a:prstDash val="lgDashDotDot"/>
              <a:round/>
            </a:ln>
            <a:effectLst/>
          </c:spPr>
        </c:majorGridlines>
        <c:numFmt formatCode="General" sourceLinked="1"/>
        <c:majorTickMark val="none"/>
        <c:minorTickMark val="none"/>
        <c:tickLblPos val="nextTo"/>
        <c:crossAx val="1614873231"/>
        <c:crosses val="autoZero"/>
        <c:crossBetween val="between"/>
      </c:valAx>
      <c:spPr>
        <a:noFill/>
        <a:ln>
          <a:noFill/>
        </a:ln>
        <a:effectLst/>
      </c:spPr>
    </c:plotArea>
    <c:legend>
      <c:legendPos val="b"/>
      <c:layout>
        <c:manualLayout>
          <c:xMode val="edge"/>
          <c:yMode val="edge"/>
          <c:x val="0"/>
          <c:y val="0.73952818625064476"/>
          <c:w val="0.98513212506744474"/>
          <c:h val="0.25173748954668645"/>
        </c:manualLayout>
      </c:layout>
      <c:overlay val="0"/>
      <c:spPr>
        <a:noFill/>
        <a:ln cap="rnd">
          <a:noFill/>
          <a:round/>
        </a:ln>
        <a:effectLst>
          <a:glow>
            <a:schemeClr val="accent1">
              <a:alpha val="40000"/>
            </a:schemeClr>
          </a:glo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DashBoard.xlsx]Pivote Table!PivotTable11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75029677904229"/>
          <c:y val="0.1196115919643614"/>
          <c:w val="0.75266024304504764"/>
          <c:h val="0.76077681607127723"/>
        </c:manualLayout>
      </c:layout>
      <c:barChart>
        <c:barDir val="bar"/>
        <c:grouping val="clustered"/>
        <c:varyColors val="0"/>
        <c:ser>
          <c:idx val="0"/>
          <c:order val="0"/>
          <c:tx>
            <c:strRef>
              <c:f>'Pivote Table'!$T$3</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Table'!$S$4:$S$9</c:f>
              <c:strCache>
                <c:ptCount val="5"/>
                <c:pt idx="0">
                  <c:v>Central</c:v>
                </c:pt>
                <c:pt idx="1">
                  <c:v>East</c:v>
                </c:pt>
                <c:pt idx="2">
                  <c:v>North</c:v>
                </c:pt>
                <c:pt idx="3">
                  <c:v>South</c:v>
                </c:pt>
                <c:pt idx="4">
                  <c:v>West</c:v>
                </c:pt>
              </c:strCache>
            </c:strRef>
          </c:cat>
          <c:val>
            <c:numRef>
              <c:f>'Pivote Table'!$T$4:$T$9</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3327-4F6F-A8E4-259E01A31A3B}"/>
            </c:ext>
          </c:extLst>
        </c:ser>
        <c:dLbls>
          <c:dLblPos val="outEnd"/>
          <c:showLegendKey val="0"/>
          <c:showVal val="1"/>
          <c:showCatName val="0"/>
          <c:showSerName val="0"/>
          <c:showPercent val="0"/>
          <c:showBubbleSize val="0"/>
        </c:dLbls>
        <c:gapWidth val="25"/>
        <c:axId val="1599687823"/>
        <c:axId val="344149471"/>
      </c:barChart>
      <c:catAx>
        <c:axId val="159968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4149471"/>
        <c:crosses val="autoZero"/>
        <c:auto val="1"/>
        <c:lblAlgn val="ctr"/>
        <c:lblOffset val="100"/>
        <c:noMultiLvlLbl val="0"/>
      </c:catAx>
      <c:valAx>
        <c:axId val="344149471"/>
        <c:scaling>
          <c:orientation val="minMax"/>
        </c:scaling>
        <c:delete val="1"/>
        <c:axPos val="b"/>
        <c:numFmt formatCode="General" sourceLinked="1"/>
        <c:majorTickMark val="none"/>
        <c:minorTickMark val="none"/>
        <c:tickLblPos val="nextTo"/>
        <c:crossAx val="159968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chart" Target="../charts/chart9.xml"/><Relationship Id="rId2" Type="http://schemas.openxmlformats.org/officeDocument/2006/relationships/chart" Target="../charts/chart2.xml"/><Relationship Id="rId16" Type="http://schemas.openxmlformats.org/officeDocument/2006/relationships/image" Target="../media/image7.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8.xml"/><Relationship Id="rId5" Type="http://schemas.openxmlformats.org/officeDocument/2006/relationships/chart" Target="../charts/chart5.xml"/><Relationship Id="rId15" Type="http://schemas.openxmlformats.org/officeDocument/2006/relationships/image" Target="../media/image6.png"/><Relationship Id="rId10" Type="http://schemas.openxmlformats.org/officeDocument/2006/relationships/chart" Target="../charts/chart7.xml"/><Relationship Id="rId4" Type="http://schemas.openxmlformats.org/officeDocument/2006/relationships/chart" Target="../charts/chart4.xml"/><Relationship Id="rId9" Type="http://schemas.openxmlformats.org/officeDocument/2006/relationships/chart" Target="../charts/chart6.xml"/><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0</xdr:col>
      <xdr:colOff>328614</xdr:colOff>
      <xdr:row>0</xdr:row>
      <xdr:rowOff>166688</xdr:rowOff>
    </xdr:from>
    <xdr:to>
      <xdr:col>16</xdr:col>
      <xdr:colOff>277813</xdr:colOff>
      <xdr:row>35</xdr:row>
      <xdr:rowOff>132563</xdr:rowOff>
    </xdr:to>
    <xdr:sp macro="" textlink="">
      <xdr:nvSpPr>
        <xdr:cNvPr id="2" name="Rectangle: Rounded Corners 1">
          <a:extLst>
            <a:ext uri="{FF2B5EF4-FFF2-40B4-BE49-F238E27FC236}">
              <a16:creationId xmlns:a16="http://schemas.microsoft.com/office/drawing/2014/main" id="{9BF9C1AE-1E3D-A322-70ED-A1A25EE8F7F7}"/>
            </a:ext>
          </a:extLst>
        </xdr:cNvPr>
        <xdr:cNvSpPr/>
      </xdr:nvSpPr>
      <xdr:spPr>
        <a:xfrm>
          <a:off x="328614" y="166688"/>
          <a:ext cx="10290628" cy="6315875"/>
        </a:xfrm>
        <a:prstGeom prst="roundRect">
          <a:avLst>
            <a:gd name="adj" fmla="val 4176"/>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445019</xdr:colOff>
      <xdr:row>25</xdr:row>
      <xdr:rowOff>7806</xdr:rowOff>
    </xdr:from>
    <xdr:to>
      <xdr:col>3</xdr:col>
      <xdr:colOff>408981</xdr:colOff>
      <xdr:row>35</xdr:row>
      <xdr:rowOff>12110</xdr:rowOff>
    </xdr:to>
    <xdr:sp macro="" textlink="">
      <xdr:nvSpPr>
        <xdr:cNvPr id="3" name="Rectangle: Rounded Corners 2">
          <a:extLst>
            <a:ext uri="{FF2B5EF4-FFF2-40B4-BE49-F238E27FC236}">
              <a16:creationId xmlns:a16="http://schemas.microsoft.com/office/drawing/2014/main" id="{BF896C94-71BE-F4A4-1787-50BC3188CBA1}"/>
            </a:ext>
          </a:extLst>
        </xdr:cNvPr>
        <xdr:cNvSpPr/>
      </xdr:nvSpPr>
      <xdr:spPr>
        <a:xfrm>
          <a:off x="445019" y="4543520"/>
          <a:ext cx="1902980" cy="1818590"/>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7</xdr:col>
      <xdr:colOff>488117</xdr:colOff>
      <xdr:row>22</xdr:row>
      <xdr:rowOff>9769</xdr:rowOff>
    </xdr:from>
    <xdr:to>
      <xdr:col>11</xdr:col>
      <xdr:colOff>344068</xdr:colOff>
      <xdr:row>35</xdr:row>
      <xdr:rowOff>15363</xdr:rowOff>
    </xdr:to>
    <xdr:sp macro="" textlink="">
      <xdr:nvSpPr>
        <xdr:cNvPr id="6" name="Rectangle: Rounded Corners 5">
          <a:extLst>
            <a:ext uri="{FF2B5EF4-FFF2-40B4-BE49-F238E27FC236}">
              <a16:creationId xmlns:a16="http://schemas.microsoft.com/office/drawing/2014/main" id="{257F145A-DE32-438A-B5DF-7B7D7AE97C99}"/>
            </a:ext>
          </a:extLst>
        </xdr:cNvPr>
        <xdr:cNvSpPr/>
      </xdr:nvSpPr>
      <xdr:spPr>
        <a:xfrm>
          <a:off x="5028914" y="3983993"/>
          <a:ext cx="2450693" cy="2353999"/>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445019</xdr:colOff>
      <xdr:row>7</xdr:row>
      <xdr:rowOff>136784</xdr:rowOff>
    </xdr:from>
    <xdr:to>
      <xdr:col>3</xdr:col>
      <xdr:colOff>408981</xdr:colOff>
      <xdr:row>24</xdr:row>
      <xdr:rowOff>72101</xdr:rowOff>
    </xdr:to>
    <xdr:sp macro="" textlink="">
      <xdr:nvSpPr>
        <xdr:cNvPr id="4" name="Rectangle: Rounded Corners 3">
          <a:extLst>
            <a:ext uri="{FF2B5EF4-FFF2-40B4-BE49-F238E27FC236}">
              <a16:creationId xmlns:a16="http://schemas.microsoft.com/office/drawing/2014/main" id="{97748A9D-848E-4A09-B36B-D1D8142600F2}"/>
            </a:ext>
          </a:extLst>
        </xdr:cNvPr>
        <xdr:cNvSpPr/>
      </xdr:nvSpPr>
      <xdr:spPr>
        <a:xfrm>
          <a:off x="445019" y="1393773"/>
          <a:ext cx="1908000" cy="2988000"/>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517472</xdr:colOff>
      <xdr:row>22</xdr:row>
      <xdr:rowOff>6516</xdr:rowOff>
    </xdr:from>
    <xdr:to>
      <xdr:col>7</xdr:col>
      <xdr:colOff>373423</xdr:colOff>
      <xdr:row>35</xdr:row>
      <xdr:rowOff>12110</xdr:rowOff>
    </xdr:to>
    <xdr:sp macro="" textlink="">
      <xdr:nvSpPr>
        <xdr:cNvPr id="5" name="Rectangle: Rounded Corners 4">
          <a:extLst>
            <a:ext uri="{FF2B5EF4-FFF2-40B4-BE49-F238E27FC236}">
              <a16:creationId xmlns:a16="http://schemas.microsoft.com/office/drawing/2014/main" id="{AF00B0FB-10CB-47F5-9A1D-13C2C105F0F2}"/>
            </a:ext>
          </a:extLst>
        </xdr:cNvPr>
        <xdr:cNvSpPr/>
      </xdr:nvSpPr>
      <xdr:spPr>
        <a:xfrm>
          <a:off x="2456490" y="3997945"/>
          <a:ext cx="2441308" cy="2364165"/>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7</xdr:col>
      <xdr:colOff>437524</xdr:colOff>
      <xdr:row>7</xdr:row>
      <xdr:rowOff>136783</xdr:rowOff>
    </xdr:from>
    <xdr:to>
      <xdr:col>11</xdr:col>
      <xdr:colOff>293475</xdr:colOff>
      <xdr:row>21</xdr:row>
      <xdr:rowOff>15613</xdr:rowOff>
    </xdr:to>
    <xdr:sp macro="" textlink="">
      <xdr:nvSpPr>
        <xdr:cNvPr id="7" name="Rectangle: Rounded Corners 6">
          <a:extLst>
            <a:ext uri="{FF2B5EF4-FFF2-40B4-BE49-F238E27FC236}">
              <a16:creationId xmlns:a16="http://schemas.microsoft.com/office/drawing/2014/main" id="{5FD802A0-8AA6-4D21-93D6-8E1C6BD2A386}"/>
            </a:ext>
          </a:extLst>
        </xdr:cNvPr>
        <xdr:cNvSpPr/>
      </xdr:nvSpPr>
      <xdr:spPr>
        <a:xfrm>
          <a:off x="4973611" y="1393772"/>
          <a:ext cx="2448000" cy="2392805"/>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517472</xdr:colOff>
      <xdr:row>7</xdr:row>
      <xdr:rowOff>136784</xdr:rowOff>
    </xdr:from>
    <xdr:to>
      <xdr:col>7</xdr:col>
      <xdr:colOff>373423</xdr:colOff>
      <xdr:row>14</xdr:row>
      <xdr:rowOff>15615</xdr:rowOff>
    </xdr:to>
    <xdr:sp macro="" textlink="">
      <xdr:nvSpPr>
        <xdr:cNvPr id="8" name="Rectangle: Rounded Corners 7">
          <a:extLst>
            <a:ext uri="{FF2B5EF4-FFF2-40B4-BE49-F238E27FC236}">
              <a16:creationId xmlns:a16="http://schemas.microsoft.com/office/drawing/2014/main" id="{E4C8BB38-BF4B-4D6E-B0B8-CAC766C21C51}"/>
            </a:ext>
          </a:extLst>
        </xdr:cNvPr>
        <xdr:cNvSpPr/>
      </xdr:nvSpPr>
      <xdr:spPr>
        <a:xfrm>
          <a:off x="2461510" y="1393773"/>
          <a:ext cx="2448000" cy="1135817"/>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490302</xdr:colOff>
      <xdr:row>14</xdr:row>
      <xdr:rowOff>142875</xdr:rowOff>
    </xdr:from>
    <xdr:to>
      <xdr:col>5</xdr:col>
      <xdr:colOff>364278</xdr:colOff>
      <xdr:row>21</xdr:row>
      <xdr:rowOff>60875</xdr:rowOff>
    </xdr:to>
    <xdr:sp macro="" textlink="">
      <xdr:nvSpPr>
        <xdr:cNvPr id="9" name="Rectangle: Rounded Corners 8">
          <a:extLst>
            <a:ext uri="{FF2B5EF4-FFF2-40B4-BE49-F238E27FC236}">
              <a16:creationId xmlns:a16="http://schemas.microsoft.com/office/drawing/2014/main" id="{0FC92C6B-41C6-4350-8453-4D987FA38FBD}"/>
            </a:ext>
          </a:extLst>
        </xdr:cNvPr>
        <xdr:cNvSpPr/>
      </xdr:nvSpPr>
      <xdr:spPr>
        <a:xfrm>
          <a:off x="2429320" y="2682875"/>
          <a:ext cx="1166654" cy="1188000"/>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5</xdr:col>
      <xdr:colOff>463133</xdr:colOff>
      <xdr:row>14</xdr:row>
      <xdr:rowOff>142875</xdr:rowOff>
    </xdr:from>
    <xdr:to>
      <xdr:col>7</xdr:col>
      <xdr:colOff>337108</xdr:colOff>
      <xdr:row>21</xdr:row>
      <xdr:rowOff>60875</xdr:rowOff>
    </xdr:to>
    <xdr:sp macro="" textlink="">
      <xdr:nvSpPr>
        <xdr:cNvPr id="10" name="Rectangle: Rounded Corners 9">
          <a:extLst>
            <a:ext uri="{FF2B5EF4-FFF2-40B4-BE49-F238E27FC236}">
              <a16:creationId xmlns:a16="http://schemas.microsoft.com/office/drawing/2014/main" id="{EA0903B0-B4C4-4FEB-B963-74D812A5AEF8}"/>
            </a:ext>
          </a:extLst>
        </xdr:cNvPr>
        <xdr:cNvSpPr/>
      </xdr:nvSpPr>
      <xdr:spPr>
        <a:xfrm>
          <a:off x="3694829" y="2682875"/>
          <a:ext cx="1166654" cy="1188000"/>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11</xdr:col>
      <xdr:colOff>463821</xdr:colOff>
      <xdr:row>28</xdr:row>
      <xdr:rowOff>42515</xdr:rowOff>
    </xdr:from>
    <xdr:to>
      <xdr:col>13</xdr:col>
      <xdr:colOff>604036</xdr:colOff>
      <xdr:row>35</xdr:row>
      <xdr:rowOff>8094</xdr:rowOff>
    </xdr:to>
    <xdr:sp macro="" textlink="">
      <xdr:nvSpPr>
        <xdr:cNvPr id="11" name="Rectangle: Rounded Corners 10">
          <a:extLst>
            <a:ext uri="{FF2B5EF4-FFF2-40B4-BE49-F238E27FC236}">
              <a16:creationId xmlns:a16="http://schemas.microsoft.com/office/drawing/2014/main" id="{5DFFB329-DBEE-4463-B841-420FD2450DB1}"/>
            </a:ext>
          </a:extLst>
        </xdr:cNvPr>
        <xdr:cNvSpPr/>
      </xdr:nvSpPr>
      <xdr:spPr>
        <a:xfrm>
          <a:off x="7599360" y="5100618"/>
          <a:ext cx="1437585" cy="1230105"/>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14</xdr:col>
      <xdr:colOff>53843</xdr:colOff>
      <xdr:row>28</xdr:row>
      <xdr:rowOff>26093</xdr:rowOff>
    </xdr:from>
    <xdr:to>
      <xdr:col>16</xdr:col>
      <xdr:colOff>194058</xdr:colOff>
      <xdr:row>34</xdr:row>
      <xdr:rowOff>172318</xdr:rowOff>
    </xdr:to>
    <xdr:sp macro="" textlink="">
      <xdr:nvSpPr>
        <xdr:cNvPr id="12" name="Rectangle: Rounded Corners 11">
          <a:extLst>
            <a:ext uri="{FF2B5EF4-FFF2-40B4-BE49-F238E27FC236}">
              <a16:creationId xmlns:a16="http://schemas.microsoft.com/office/drawing/2014/main" id="{171A529F-614A-4FFC-B510-297D7770A884}"/>
            </a:ext>
          </a:extLst>
        </xdr:cNvPr>
        <xdr:cNvSpPr/>
      </xdr:nvSpPr>
      <xdr:spPr>
        <a:xfrm>
          <a:off x="9135438" y="5084196"/>
          <a:ext cx="1437586" cy="1230105"/>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14</xdr:col>
      <xdr:colOff>58502</xdr:colOff>
      <xdr:row>21</xdr:row>
      <xdr:rowOff>2323</xdr:rowOff>
    </xdr:from>
    <xdr:to>
      <xdr:col>16</xdr:col>
      <xdr:colOff>198717</xdr:colOff>
      <xdr:row>27</xdr:row>
      <xdr:rowOff>150406</xdr:rowOff>
    </xdr:to>
    <xdr:sp macro="" textlink="">
      <xdr:nvSpPr>
        <xdr:cNvPr id="13" name="Rectangle: Rounded Corners 12">
          <a:extLst>
            <a:ext uri="{FF2B5EF4-FFF2-40B4-BE49-F238E27FC236}">
              <a16:creationId xmlns:a16="http://schemas.microsoft.com/office/drawing/2014/main" id="{233E68AA-89A0-4236-ACE0-BC614A8B32DD}"/>
            </a:ext>
          </a:extLst>
        </xdr:cNvPr>
        <xdr:cNvSpPr/>
      </xdr:nvSpPr>
      <xdr:spPr>
        <a:xfrm>
          <a:off x="9107252" y="3812323"/>
          <a:ext cx="1432894" cy="1236654"/>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11</xdr:col>
      <xdr:colOff>412924</xdr:colOff>
      <xdr:row>10</xdr:row>
      <xdr:rowOff>64035</xdr:rowOff>
    </xdr:from>
    <xdr:to>
      <xdr:col>16</xdr:col>
      <xdr:colOff>182450</xdr:colOff>
      <xdr:row>19</xdr:row>
      <xdr:rowOff>105767</xdr:rowOff>
    </xdr:to>
    <xdr:sp macro="" textlink="">
      <xdr:nvSpPr>
        <xdr:cNvPr id="15" name="Rectangle: Rounded Corners 14">
          <a:extLst>
            <a:ext uri="{FF2B5EF4-FFF2-40B4-BE49-F238E27FC236}">
              <a16:creationId xmlns:a16="http://schemas.microsoft.com/office/drawing/2014/main" id="{C540521A-4A17-4B9B-88B2-5448376B7509}"/>
            </a:ext>
          </a:extLst>
        </xdr:cNvPr>
        <xdr:cNvSpPr/>
      </xdr:nvSpPr>
      <xdr:spPr>
        <a:xfrm>
          <a:off x="7522656" y="1878321"/>
          <a:ext cx="3001223" cy="1674589"/>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11</xdr:col>
      <xdr:colOff>398489</xdr:colOff>
      <xdr:row>1</xdr:row>
      <xdr:rowOff>79560</xdr:rowOff>
    </xdr:from>
    <xdr:to>
      <xdr:col>16</xdr:col>
      <xdr:colOff>168015</xdr:colOff>
      <xdr:row>9</xdr:row>
      <xdr:rowOff>159494</xdr:rowOff>
    </xdr:to>
    <xdr:sp macro="" textlink="">
      <xdr:nvSpPr>
        <xdr:cNvPr id="16" name="Rectangle: Rounded Corners 15">
          <a:extLst>
            <a:ext uri="{FF2B5EF4-FFF2-40B4-BE49-F238E27FC236}">
              <a16:creationId xmlns:a16="http://schemas.microsoft.com/office/drawing/2014/main" id="{C469D0BC-DEAB-4FC3-A8B0-6AEA067F421D}"/>
            </a:ext>
          </a:extLst>
        </xdr:cNvPr>
        <xdr:cNvSpPr/>
      </xdr:nvSpPr>
      <xdr:spPr>
        <a:xfrm>
          <a:off x="7508221" y="260989"/>
          <a:ext cx="3001223" cy="1531362"/>
        </a:xfrm>
        <a:prstGeom prst="roundRect">
          <a:avLst>
            <a:gd name="adj" fmla="val 1059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14</xdr:col>
      <xdr:colOff>171763</xdr:colOff>
      <xdr:row>21</xdr:row>
      <xdr:rowOff>46843</xdr:rowOff>
    </xdr:from>
    <xdr:to>
      <xdr:col>15</xdr:col>
      <xdr:colOff>523094</xdr:colOff>
      <xdr:row>24</xdr:row>
      <xdr:rowOff>171763</xdr:rowOff>
    </xdr:to>
    <xdr:sp macro="" textlink="">
      <xdr:nvSpPr>
        <xdr:cNvPr id="17" name="TextBox 16">
          <a:extLst>
            <a:ext uri="{FF2B5EF4-FFF2-40B4-BE49-F238E27FC236}">
              <a16:creationId xmlns:a16="http://schemas.microsoft.com/office/drawing/2014/main" id="{69BF0A53-E244-8559-492D-5D7996C48FB1}"/>
            </a:ext>
          </a:extLst>
        </xdr:cNvPr>
        <xdr:cNvSpPr txBox="1"/>
      </xdr:nvSpPr>
      <xdr:spPr>
        <a:xfrm>
          <a:off x="9243935" y="3817807"/>
          <a:ext cx="999344" cy="663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Part</a:t>
          </a:r>
        </a:p>
        <a:p>
          <a:r>
            <a:rPr lang="en-IN" sz="1200" b="1">
              <a:solidFill>
                <a:schemeClr val="bg1"/>
              </a:solidFill>
            </a:rPr>
            <a:t>Time</a:t>
          </a:r>
        </a:p>
        <a:p>
          <a:r>
            <a:rPr lang="en-IN" sz="1200" b="1">
              <a:solidFill>
                <a:schemeClr val="bg1"/>
              </a:solidFill>
            </a:rPr>
            <a:t>Employees</a:t>
          </a:r>
        </a:p>
      </xdr:txBody>
    </xdr:sp>
    <xdr:clientData/>
  </xdr:twoCellAnchor>
  <xdr:twoCellAnchor>
    <xdr:from>
      <xdr:col>14</xdr:col>
      <xdr:colOff>27482</xdr:colOff>
      <xdr:row>28</xdr:row>
      <xdr:rowOff>58711</xdr:rowOff>
    </xdr:from>
    <xdr:to>
      <xdr:col>15</xdr:col>
      <xdr:colOff>378813</xdr:colOff>
      <xdr:row>32</xdr:row>
      <xdr:rowOff>4060</xdr:rowOff>
    </xdr:to>
    <xdr:sp macro="" textlink="">
      <xdr:nvSpPr>
        <xdr:cNvPr id="18" name="TextBox 17">
          <a:extLst>
            <a:ext uri="{FF2B5EF4-FFF2-40B4-BE49-F238E27FC236}">
              <a16:creationId xmlns:a16="http://schemas.microsoft.com/office/drawing/2014/main" id="{B81A1B11-1A4C-47FD-8CE4-5CC8ADBD7D56}"/>
            </a:ext>
          </a:extLst>
        </xdr:cNvPr>
        <xdr:cNvSpPr txBox="1"/>
      </xdr:nvSpPr>
      <xdr:spPr>
        <a:xfrm>
          <a:off x="9099654" y="5086662"/>
          <a:ext cx="999344" cy="663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Full</a:t>
          </a:r>
        </a:p>
        <a:p>
          <a:r>
            <a:rPr lang="en-IN" sz="1200" b="1">
              <a:solidFill>
                <a:schemeClr val="bg1"/>
              </a:solidFill>
            </a:rPr>
            <a:t>Time</a:t>
          </a:r>
        </a:p>
        <a:p>
          <a:r>
            <a:rPr lang="en-IN" sz="1200" b="1">
              <a:solidFill>
                <a:schemeClr val="bg1"/>
              </a:solidFill>
            </a:rPr>
            <a:t>Employees</a:t>
          </a:r>
        </a:p>
      </xdr:txBody>
    </xdr:sp>
    <xdr:clientData/>
  </xdr:twoCellAnchor>
  <xdr:twoCellAnchor>
    <xdr:from>
      <xdr:col>14</xdr:col>
      <xdr:colOff>121217</xdr:colOff>
      <xdr:row>23</xdr:row>
      <xdr:rowOff>155967</xdr:rowOff>
    </xdr:from>
    <xdr:to>
      <xdr:col>16</xdr:col>
      <xdr:colOff>168060</xdr:colOff>
      <xdr:row>27</xdr:row>
      <xdr:rowOff>100239</xdr:rowOff>
    </xdr:to>
    <xdr:sp macro="" textlink="'Pivote Table'!B12">
      <xdr:nvSpPr>
        <xdr:cNvPr id="19" name="TextBox 18">
          <a:extLst>
            <a:ext uri="{FF2B5EF4-FFF2-40B4-BE49-F238E27FC236}">
              <a16:creationId xmlns:a16="http://schemas.microsoft.com/office/drawing/2014/main" id="{53D90EC2-BEE9-4EB2-9262-898F38B08A27}"/>
            </a:ext>
          </a:extLst>
        </xdr:cNvPr>
        <xdr:cNvSpPr txBox="1"/>
      </xdr:nvSpPr>
      <xdr:spPr>
        <a:xfrm>
          <a:off x="9169967" y="4328824"/>
          <a:ext cx="1339522" cy="66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4B9609A-1A13-4F32-8FBE-D243E9A68839}" type="TxLink">
            <a:rPr lang="en-US" sz="3600" b="0" i="0" u="none" strike="noStrike">
              <a:solidFill>
                <a:schemeClr val="bg1"/>
              </a:solidFill>
              <a:latin typeface="Aptos Narrow"/>
            </a:rPr>
            <a:pPr algn="r"/>
            <a:t>13</a:t>
          </a:fld>
          <a:endParaRPr lang="en-IN" sz="4000" b="1">
            <a:solidFill>
              <a:schemeClr val="bg1"/>
            </a:solidFill>
          </a:endParaRPr>
        </a:p>
      </xdr:txBody>
    </xdr:sp>
    <xdr:clientData/>
  </xdr:twoCellAnchor>
  <xdr:twoCellAnchor>
    <xdr:from>
      <xdr:col>14</xdr:col>
      <xdr:colOff>69011</xdr:colOff>
      <xdr:row>31</xdr:row>
      <xdr:rowOff>1659</xdr:rowOff>
    </xdr:from>
    <xdr:to>
      <xdr:col>16</xdr:col>
      <xdr:colOff>115854</xdr:colOff>
      <xdr:row>34</xdr:row>
      <xdr:rowOff>127654</xdr:rowOff>
    </xdr:to>
    <xdr:sp macro="" textlink="'Pivote Table'!B11">
      <xdr:nvSpPr>
        <xdr:cNvPr id="20" name="TextBox 19">
          <a:extLst>
            <a:ext uri="{FF2B5EF4-FFF2-40B4-BE49-F238E27FC236}">
              <a16:creationId xmlns:a16="http://schemas.microsoft.com/office/drawing/2014/main" id="{08DFDBF7-75DA-4FF2-894F-BFAB491F0879}"/>
            </a:ext>
          </a:extLst>
        </xdr:cNvPr>
        <xdr:cNvSpPr txBox="1"/>
      </xdr:nvSpPr>
      <xdr:spPr>
        <a:xfrm>
          <a:off x="9150606" y="5601702"/>
          <a:ext cx="1344214" cy="667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7AF692B-1D8C-4A94-8549-6E6A167230AD}" type="TxLink">
            <a:rPr lang="en-US" sz="3600" b="0" i="0" u="none" strike="noStrike">
              <a:solidFill>
                <a:schemeClr val="bg1"/>
              </a:solidFill>
              <a:latin typeface="Aptos Narrow"/>
            </a:rPr>
            <a:t>20</a:t>
          </a:fld>
          <a:endParaRPr lang="en-IN" sz="9600" b="1">
            <a:solidFill>
              <a:schemeClr val="bg1"/>
            </a:solidFill>
          </a:endParaRPr>
        </a:p>
      </xdr:txBody>
    </xdr:sp>
    <xdr:clientData/>
  </xdr:twoCellAnchor>
  <xdr:twoCellAnchor>
    <xdr:from>
      <xdr:col>11</xdr:col>
      <xdr:colOff>445332</xdr:colOff>
      <xdr:row>28</xdr:row>
      <xdr:rowOff>94000</xdr:rowOff>
    </xdr:from>
    <xdr:to>
      <xdr:col>13</xdr:col>
      <xdr:colOff>148651</xdr:colOff>
      <xdr:row>32</xdr:row>
      <xdr:rowOff>39349</xdr:rowOff>
    </xdr:to>
    <xdr:sp macro="" textlink="">
      <xdr:nvSpPr>
        <xdr:cNvPr id="21" name="TextBox 20">
          <a:extLst>
            <a:ext uri="{FF2B5EF4-FFF2-40B4-BE49-F238E27FC236}">
              <a16:creationId xmlns:a16="http://schemas.microsoft.com/office/drawing/2014/main" id="{54128965-0343-4A0C-976A-6E97D25E1579}"/>
            </a:ext>
          </a:extLst>
        </xdr:cNvPr>
        <xdr:cNvSpPr txBox="1"/>
      </xdr:nvSpPr>
      <xdr:spPr>
        <a:xfrm>
          <a:off x="7573468" y="5121951"/>
          <a:ext cx="999344" cy="663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Employees</a:t>
          </a:r>
        </a:p>
        <a:p>
          <a:r>
            <a:rPr lang="en-IN" sz="1200" b="1">
              <a:solidFill>
                <a:schemeClr val="bg1"/>
              </a:solidFill>
            </a:rPr>
            <a:t>With</a:t>
          </a:r>
        </a:p>
        <a:p>
          <a:r>
            <a:rPr lang="en-IN" sz="1200" b="1">
              <a:solidFill>
                <a:schemeClr val="bg1"/>
              </a:solidFill>
            </a:rPr>
            <a:t>Contract</a:t>
          </a:r>
        </a:p>
      </xdr:txBody>
    </xdr:sp>
    <xdr:clientData/>
  </xdr:twoCellAnchor>
  <xdr:twoCellAnchor>
    <xdr:from>
      <xdr:col>11</xdr:col>
      <xdr:colOff>515600</xdr:colOff>
      <xdr:row>30</xdr:row>
      <xdr:rowOff>168327</xdr:rowOff>
    </xdr:from>
    <xdr:to>
      <xdr:col>13</xdr:col>
      <xdr:colOff>562443</xdr:colOff>
      <xdr:row>34</xdr:row>
      <xdr:rowOff>113676</xdr:rowOff>
    </xdr:to>
    <xdr:sp macro="" textlink="'Pivote Table'!B10">
      <xdr:nvSpPr>
        <xdr:cNvPr id="22" name="TextBox 21">
          <a:extLst>
            <a:ext uri="{FF2B5EF4-FFF2-40B4-BE49-F238E27FC236}">
              <a16:creationId xmlns:a16="http://schemas.microsoft.com/office/drawing/2014/main" id="{2AC2C8A5-9FE9-4E94-98EB-313067C2B0FD}"/>
            </a:ext>
          </a:extLst>
        </xdr:cNvPr>
        <xdr:cNvSpPr txBox="1"/>
      </xdr:nvSpPr>
      <xdr:spPr>
        <a:xfrm>
          <a:off x="7651139" y="5587724"/>
          <a:ext cx="1344213" cy="667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83A0715-1862-4648-89C6-4C00B1C3C3B4}" type="TxLink">
            <a:rPr lang="en-US" sz="3600" b="0" i="0" u="none" strike="noStrike">
              <a:solidFill>
                <a:schemeClr val="bg1"/>
              </a:solidFill>
              <a:latin typeface="Aptos Narrow"/>
              <a:ea typeface="+mn-ea"/>
              <a:cs typeface="+mn-cs"/>
            </a:rPr>
            <a:pPr marL="0" indent="0" algn="r"/>
            <a:t>17</a:t>
          </a:fld>
          <a:endParaRPr lang="en-IN" sz="3600" b="0" i="0" u="none" strike="noStrike">
            <a:solidFill>
              <a:schemeClr val="bg1"/>
            </a:solidFill>
            <a:latin typeface="Aptos Narrow"/>
            <a:ea typeface="+mn-ea"/>
            <a:cs typeface="+mn-cs"/>
          </a:endParaRPr>
        </a:p>
      </xdr:txBody>
    </xdr:sp>
    <xdr:clientData/>
  </xdr:twoCellAnchor>
  <xdr:twoCellAnchor>
    <xdr:from>
      <xdr:col>7</xdr:col>
      <xdr:colOff>590236</xdr:colOff>
      <xdr:row>25</xdr:row>
      <xdr:rowOff>59494</xdr:rowOff>
    </xdr:from>
    <xdr:to>
      <xdr:col>9</xdr:col>
      <xdr:colOff>546045</xdr:colOff>
      <xdr:row>26</xdr:row>
      <xdr:rowOff>166848</xdr:rowOff>
    </xdr:to>
    <xdr:sp macro="" textlink="">
      <xdr:nvSpPr>
        <xdr:cNvPr id="23" name="TextBox 22">
          <a:extLst>
            <a:ext uri="{FF2B5EF4-FFF2-40B4-BE49-F238E27FC236}">
              <a16:creationId xmlns:a16="http://schemas.microsoft.com/office/drawing/2014/main" id="{4878AC66-C9F9-48B7-BF9F-EEAE03601D0E}"/>
            </a:ext>
          </a:extLst>
        </xdr:cNvPr>
        <xdr:cNvSpPr txBox="1"/>
      </xdr:nvSpPr>
      <xdr:spPr>
        <a:xfrm>
          <a:off x="5131033" y="4575658"/>
          <a:ext cx="125318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bg1"/>
              </a:solidFill>
              <a:latin typeface="+mn-lt"/>
              <a:cs typeface="Segoe UI Semibold" panose="020B0702040204020203" pitchFamily="34" charset="0"/>
            </a:rPr>
            <a:t>Total</a:t>
          </a:r>
          <a:r>
            <a:rPr lang="en-IN" sz="1400" b="1" baseline="0">
              <a:solidFill>
                <a:schemeClr val="bg1"/>
              </a:solidFill>
              <a:latin typeface="+mn-lt"/>
              <a:cs typeface="Segoe UI Semibold" panose="020B0702040204020203" pitchFamily="34" charset="0"/>
            </a:rPr>
            <a:t> Salaries</a:t>
          </a:r>
          <a:endParaRPr lang="en-IN" sz="1400" b="1">
            <a:solidFill>
              <a:schemeClr val="bg1"/>
            </a:solidFill>
            <a:latin typeface="+mn-lt"/>
            <a:cs typeface="Segoe UI Semibold" panose="020B0702040204020203" pitchFamily="34" charset="0"/>
          </a:endParaRPr>
        </a:p>
      </xdr:txBody>
    </xdr:sp>
    <xdr:clientData/>
  </xdr:twoCellAnchor>
  <xdr:twoCellAnchor>
    <xdr:from>
      <xdr:col>7</xdr:col>
      <xdr:colOff>590236</xdr:colOff>
      <xdr:row>26</xdr:row>
      <xdr:rowOff>146587</xdr:rowOff>
    </xdr:from>
    <xdr:to>
      <xdr:col>9</xdr:col>
      <xdr:colOff>546045</xdr:colOff>
      <xdr:row>28</xdr:row>
      <xdr:rowOff>73294</xdr:rowOff>
    </xdr:to>
    <xdr:sp macro="" textlink="">
      <xdr:nvSpPr>
        <xdr:cNvPr id="24" name="TextBox 23">
          <a:extLst>
            <a:ext uri="{FF2B5EF4-FFF2-40B4-BE49-F238E27FC236}">
              <a16:creationId xmlns:a16="http://schemas.microsoft.com/office/drawing/2014/main" id="{F344F8AE-68C9-458C-9773-57723B5439CE}"/>
            </a:ext>
          </a:extLst>
        </xdr:cNvPr>
        <xdr:cNvSpPr txBox="1"/>
      </xdr:nvSpPr>
      <xdr:spPr>
        <a:xfrm>
          <a:off x="5131033" y="4843397"/>
          <a:ext cx="125318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baseline="0">
              <a:solidFill>
                <a:schemeClr val="bg1"/>
              </a:solidFill>
              <a:latin typeface="+mn-lt"/>
              <a:ea typeface="+mn-ea"/>
              <a:cs typeface="Segoe UI Semibold" panose="020B0702040204020203" pitchFamily="34" charset="0"/>
            </a:rPr>
            <a:t>Managers</a:t>
          </a:r>
        </a:p>
      </xdr:txBody>
    </xdr:sp>
    <xdr:clientData/>
  </xdr:twoCellAnchor>
  <xdr:twoCellAnchor>
    <xdr:from>
      <xdr:col>7</xdr:col>
      <xdr:colOff>590236</xdr:colOff>
      <xdr:row>28</xdr:row>
      <xdr:rowOff>53033</xdr:rowOff>
    </xdr:from>
    <xdr:to>
      <xdr:col>9</xdr:col>
      <xdr:colOff>546045</xdr:colOff>
      <xdr:row>29</xdr:row>
      <xdr:rowOff>160386</xdr:rowOff>
    </xdr:to>
    <xdr:sp macro="" textlink="">
      <xdr:nvSpPr>
        <xdr:cNvPr id="25" name="TextBox 24">
          <a:extLst>
            <a:ext uri="{FF2B5EF4-FFF2-40B4-BE49-F238E27FC236}">
              <a16:creationId xmlns:a16="http://schemas.microsoft.com/office/drawing/2014/main" id="{8600C670-47F8-4BE8-96FC-AFE6D97B27B2}"/>
            </a:ext>
          </a:extLst>
        </xdr:cNvPr>
        <xdr:cNvSpPr txBox="1"/>
      </xdr:nvSpPr>
      <xdr:spPr>
        <a:xfrm>
          <a:off x="5114611" y="5133033"/>
          <a:ext cx="1248488" cy="288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baseline="0">
              <a:solidFill>
                <a:schemeClr val="bg1"/>
              </a:solidFill>
              <a:latin typeface="+mn-lt"/>
              <a:ea typeface="+mn-ea"/>
              <a:cs typeface="Segoe UI Semibold" panose="020B0702040204020203" pitchFamily="34" charset="0"/>
            </a:rPr>
            <a:t>HR Specialists</a:t>
          </a:r>
          <a:endParaRPr lang="en-IN" sz="1400" b="1">
            <a:solidFill>
              <a:schemeClr val="bg1"/>
            </a:solidFill>
            <a:latin typeface="+mn-lt"/>
            <a:cs typeface="Segoe UI Semibold" panose="020B0702040204020203" pitchFamily="34" charset="0"/>
          </a:endParaRPr>
        </a:p>
      </xdr:txBody>
    </xdr:sp>
    <xdr:clientData/>
  </xdr:twoCellAnchor>
  <xdr:twoCellAnchor>
    <xdr:from>
      <xdr:col>7</xdr:col>
      <xdr:colOff>590236</xdr:colOff>
      <xdr:row>29</xdr:row>
      <xdr:rowOff>140125</xdr:rowOff>
    </xdr:from>
    <xdr:to>
      <xdr:col>9</xdr:col>
      <xdr:colOff>546045</xdr:colOff>
      <xdr:row>31</xdr:row>
      <xdr:rowOff>66832</xdr:rowOff>
    </xdr:to>
    <xdr:sp macro="" textlink="">
      <xdr:nvSpPr>
        <xdr:cNvPr id="26" name="TextBox 25">
          <a:extLst>
            <a:ext uri="{FF2B5EF4-FFF2-40B4-BE49-F238E27FC236}">
              <a16:creationId xmlns:a16="http://schemas.microsoft.com/office/drawing/2014/main" id="{56C1D0CA-F172-4840-AF1B-EDFA0AD6BAD1}"/>
            </a:ext>
          </a:extLst>
        </xdr:cNvPr>
        <xdr:cNvSpPr txBox="1"/>
      </xdr:nvSpPr>
      <xdr:spPr>
        <a:xfrm>
          <a:off x="5114611" y="5401554"/>
          <a:ext cx="1248488" cy="289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bg1"/>
              </a:solidFill>
              <a:latin typeface="+mn-lt"/>
              <a:cs typeface="Segoe UI Semibold" panose="020B0702040204020203" pitchFamily="34" charset="0"/>
            </a:rPr>
            <a:t>Developers</a:t>
          </a:r>
          <a:endParaRPr lang="en-IN" sz="1400" b="1" baseline="0">
            <a:solidFill>
              <a:schemeClr val="bg1"/>
            </a:solidFill>
            <a:latin typeface="+mn-lt"/>
            <a:ea typeface="+mn-ea"/>
            <a:cs typeface="Segoe UI Semibold" panose="020B0702040204020203" pitchFamily="34" charset="0"/>
          </a:endParaRPr>
        </a:p>
      </xdr:txBody>
    </xdr:sp>
    <xdr:clientData/>
  </xdr:twoCellAnchor>
  <xdr:twoCellAnchor>
    <xdr:from>
      <xdr:col>7</xdr:col>
      <xdr:colOff>590236</xdr:colOff>
      <xdr:row>31</xdr:row>
      <xdr:rowOff>46571</xdr:rowOff>
    </xdr:from>
    <xdr:to>
      <xdr:col>9</xdr:col>
      <xdr:colOff>546045</xdr:colOff>
      <xdr:row>32</xdr:row>
      <xdr:rowOff>153924</xdr:rowOff>
    </xdr:to>
    <xdr:sp macro="" textlink="">
      <xdr:nvSpPr>
        <xdr:cNvPr id="27" name="TextBox 26">
          <a:extLst>
            <a:ext uri="{FF2B5EF4-FFF2-40B4-BE49-F238E27FC236}">
              <a16:creationId xmlns:a16="http://schemas.microsoft.com/office/drawing/2014/main" id="{0411E86B-C1BD-4AAE-A994-3B8FEF7C4AB3}"/>
            </a:ext>
          </a:extLst>
        </xdr:cNvPr>
        <xdr:cNvSpPr txBox="1"/>
      </xdr:nvSpPr>
      <xdr:spPr>
        <a:xfrm>
          <a:off x="5114611" y="5670857"/>
          <a:ext cx="1248488" cy="288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bg1"/>
              </a:solidFill>
              <a:latin typeface="+mn-lt"/>
              <a:cs typeface="Segoe UI Semibold" panose="020B0702040204020203" pitchFamily="34" charset="0"/>
            </a:rPr>
            <a:t>Designers</a:t>
          </a:r>
          <a:endParaRPr lang="en-IN" sz="1400" b="1" baseline="0">
            <a:solidFill>
              <a:schemeClr val="bg1"/>
            </a:solidFill>
            <a:latin typeface="+mn-lt"/>
            <a:ea typeface="+mn-ea"/>
            <a:cs typeface="Segoe UI Semibold" panose="020B0702040204020203" pitchFamily="34" charset="0"/>
          </a:endParaRPr>
        </a:p>
      </xdr:txBody>
    </xdr:sp>
    <xdr:clientData/>
  </xdr:twoCellAnchor>
  <xdr:twoCellAnchor>
    <xdr:from>
      <xdr:col>9</xdr:col>
      <xdr:colOff>616827</xdr:colOff>
      <xdr:row>33</xdr:row>
      <xdr:rowOff>41055</xdr:rowOff>
    </xdr:from>
    <xdr:to>
      <xdr:col>11</xdr:col>
      <xdr:colOff>255456</xdr:colOff>
      <xdr:row>34</xdr:row>
      <xdr:rowOff>148408</xdr:rowOff>
    </xdr:to>
    <xdr:sp macro="" textlink="">
      <xdr:nvSpPr>
        <xdr:cNvPr id="56" name="Rectangle 55">
          <a:extLst>
            <a:ext uri="{FF2B5EF4-FFF2-40B4-BE49-F238E27FC236}">
              <a16:creationId xmlns:a16="http://schemas.microsoft.com/office/drawing/2014/main" id="{6A283161-1282-9172-217E-E35973948CED}"/>
            </a:ext>
          </a:extLst>
        </xdr:cNvPr>
        <xdr:cNvSpPr/>
      </xdr:nvSpPr>
      <xdr:spPr>
        <a:xfrm>
          <a:off x="6454995" y="6002391"/>
          <a:ext cx="936000" cy="288000"/>
        </a:xfrm>
        <a:prstGeom prst="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616827</xdr:colOff>
      <xdr:row>31</xdr:row>
      <xdr:rowOff>108878</xdr:rowOff>
    </xdr:from>
    <xdr:to>
      <xdr:col>11</xdr:col>
      <xdr:colOff>255456</xdr:colOff>
      <xdr:row>33</xdr:row>
      <xdr:rowOff>35585</xdr:rowOff>
    </xdr:to>
    <xdr:sp macro="" textlink="">
      <xdr:nvSpPr>
        <xdr:cNvPr id="57" name="Rectangle 56">
          <a:extLst>
            <a:ext uri="{FF2B5EF4-FFF2-40B4-BE49-F238E27FC236}">
              <a16:creationId xmlns:a16="http://schemas.microsoft.com/office/drawing/2014/main" id="{BE4567EF-7B8C-48A0-99F2-26BA76196503}"/>
            </a:ext>
          </a:extLst>
        </xdr:cNvPr>
        <xdr:cNvSpPr/>
      </xdr:nvSpPr>
      <xdr:spPr>
        <a:xfrm>
          <a:off x="6454995" y="5708921"/>
          <a:ext cx="936000" cy="288000"/>
        </a:xfrm>
        <a:prstGeom prst="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616827</xdr:colOff>
      <xdr:row>29</xdr:row>
      <xdr:rowOff>176703</xdr:rowOff>
    </xdr:from>
    <xdr:to>
      <xdr:col>11</xdr:col>
      <xdr:colOff>255456</xdr:colOff>
      <xdr:row>31</xdr:row>
      <xdr:rowOff>103410</xdr:rowOff>
    </xdr:to>
    <xdr:sp macro="" textlink="">
      <xdr:nvSpPr>
        <xdr:cNvPr id="58" name="Rectangle 57">
          <a:extLst>
            <a:ext uri="{FF2B5EF4-FFF2-40B4-BE49-F238E27FC236}">
              <a16:creationId xmlns:a16="http://schemas.microsoft.com/office/drawing/2014/main" id="{2AED8421-2B44-4A14-A14D-A2D47D1317F4}"/>
            </a:ext>
          </a:extLst>
        </xdr:cNvPr>
        <xdr:cNvSpPr/>
      </xdr:nvSpPr>
      <xdr:spPr>
        <a:xfrm>
          <a:off x="6454995" y="5415453"/>
          <a:ext cx="936000" cy="288000"/>
        </a:xfrm>
        <a:prstGeom prst="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616827</xdr:colOff>
      <xdr:row>28</xdr:row>
      <xdr:rowOff>63882</xdr:rowOff>
    </xdr:from>
    <xdr:to>
      <xdr:col>11</xdr:col>
      <xdr:colOff>255456</xdr:colOff>
      <xdr:row>29</xdr:row>
      <xdr:rowOff>171235</xdr:rowOff>
    </xdr:to>
    <xdr:sp macro="" textlink="">
      <xdr:nvSpPr>
        <xdr:cNvPr id="59" name="Rectangle 58">
          <a:extLst>
            <a:ext uri="{FF2B5EF4-FFF2-40B4-BE49-F238E27FC236}">
              <a16:creationId xmlns:a16="http://schemas.microsoft.com/office/drawing/2014/main" id="{E1558FFD-1B42-4254-A209-B6B337483AE4}"/>
            </a:ext>
          </a:extLst>
        </xdr:cNvPr>
        <xdr:cNvSpPr/>
      </xdr:nvSpPr>
      <xdr:spPr>
        <a:xfrm>
          <a:off x="6454995" y="5121985"/>
          <a:ext cx="936000" cy="288000"/>
        </a:xfrm>
        <a:prstGeom prst="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616827</xdr:colOff>
      <xdr:row>26</xdr:row>
      <xdr:rowOff>131707</xdr:rowOff>
    </xdr:from>
    <xdr:to>
      <xdr:col>11</xdr:col>
      <xdr:colOff>255456</xdr:colOff>
      <xdr:row>28</xdr:row>
      <xdr:rowOff>58414</xdr:rowOff>
    </xdr:to>
    <xdr:sp macro="" textlink="">
      <xdr:nvSpPr>
        <xdr:cNvPr id="60" name="Rectangle 59">
          <a:extLst>
            <a:ext uri="{FF2B5EF4-FFF2-40B4-BE49-F238E27FC236}">
              <a16:creationId xmlns:a16="http://schemas.microsoft.com/office/drawing/2014/main" id="{439ED834-58A6-47AB-A86D-8D85F0022761}"/>
            </a:ext>
          </a:extLst>
        </xdr:cNvPr>
        <xdr:cNvSpPr/>
      </xdr:nvSpPr>
      <xdr:spPr>
        <a:xfrm>
          <a:off x="6454995" y="4828517"/>
          <a:ext cx="936000" cy="288000"/>
        </a:xfrm>
        <a:prstGeom prst="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590236</xdr:colOff>
      <xdr:row>32</xdr:row>
      <xdr:rowOff>133662</xdr:rowOff>
    </xdr:from>
    <xdr:to>
      <xdr:col>9</xdr:col>
      <xdr:colOff>546045</xdr:colOff>
      <xdr:row>34</xdr:row>
      <xdr:rowOff>60369</xdr:rowOff>
    </xdr:to>
    <xdr:sp macro="" textlink="">
      <xdr:nvSpPr>
        <xdr:cNvPr id="28" name="TextBox 27">
          <a:extLst>
            <a:ext uri="{FF2B5EF4-FFF2-40B4-BE49-F238E27FC236}">
              <a16:creationId xmlns:a16="http://schemas.microsoft.com/office/drawing/2014/main" id="{1EFC4CAE-AA1F-43CF-A1AF-F6881F299FAA}"/>
            </a:ext>
          </a:extLst>
        </xdr:cNvPr>
        <xdr:cNvSpPr txBox="1"/>
      </xdr:nvSpPr>
      <xdr:spPr>
        <a:xfrm>
          <a:off x="5131033" y="5914352"/>
          <a:ext cx="125318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bg1"/>
              </a:solidFill>
              <a:latin typeface="+mn-lt"/>
              <a:cs typeface="Segoe UI Semibold" panose="020B0702040204020203" pitchFamily="34" charset="0"/>
            </a:rPr>
            <a:t>Analyst</a:t>
          </a:r>
          <a:endParaRPr lang="en-IN" sz="1400" b="1" baseline="0">
            <a:solidFill>
              <a:schemeClr val="bg1"/>
            </a:solidFill>
            <a:latin typeface="+mn-lt"/>
            <a:ea typeface="+mn-ea"/>
            <a:cs typeface="Segoe UI Semibold" panose="020B0702040204020203" pitchFamily="34" charset="0"/>
          </a:endParaRPr>
        </a:p>
      </xdr:txBody>
    </xdr:sp>
    <xdr:clientData/>
  </xdr:twoCellAnchor>
  <xdr:twoCellAnchor>
    <xdr:from>
      <xdr:col>9</xdr:col>
      <xdr:colOff>646663</xdr:colOff>
      <xdr:row>26</xdr:row>
      <xdr:rowOff>119888</xdr:rowOff>
    </xdr:from>
    <xdr:to>
      <xdr:col>11</xdr:col>
      <xdr:colOff>285292</xdr:colOff>
      <xdr:row>28</xdr:row>
      <xdr:rowOff>46595</xdr:rowOff>
    </xdr:to>
    <xdr:sp macro="" textlink="'Pivote Table'!E15">
      <xdr:nvSpPr>
        <xdr:cNvPr id="36" name="TextBox 35">
          <a:extLst>
            <a:ext uri="{FF2B5EF4-FFF2-40B4-BE49-F238E27FC236}">
              <a16:creationId xmlns:a16="http://schemas.microsoft.com/office/drawing/2014/main" id="{973A6AD9-A43E-4BEB-9FBA-B6FBB907BC0C}"/>
            </a:ext>
          </a:extLst>
        </xdr:cNvPr>
        <xdr:cNvSpPr txBox="1"/>
      </xdr:nvSpPr>
      <xdr:spPr>
        <a:xfrm>
          <a:off x="6484831" y="4816698"/>
          <a:ext cx="93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B69BEC-C1BE-4442-9A5A-EAE6D53DFD78}" type="TxLink">
            <a:rPr lang="en-US" sz="1400" b="1" i="0" u="none" strike="noStrike">
              <a:solidFill>
                <a:schemeClr val="bg1"/>
              </a:solidFill>
              <a:latin typeface="+mn-lt"/>
              <a:ea typeface="+mn-ea"/>
              <a:cs typeface="+mn-cs"/>
            </a:rPr>
            <a:pPr marL="0" indent="0" algn="r"/>
            <a:t>731170</a:t>
          </a:fld>
          <a:endParaRPr lang="en-IN" sz="1400" b="1" i="0" u="none" strike="noStrike">
            <a:solidFill>
              <a:schemeClr val="bg1"/>
            </a:solidFill>
            <a:latin typeface="+mn-lt"/>
            <a:ea typeface="+mn-ea"/>
            <a:cs typeface="+mn-cs"/>
          </a:endParaRPr>
        </a:p>
      </xdr:txBody>
    </xdr:sp>
    <xdr:clientData/>
  </xdr:twoCellAnchor>
  <xdr:twoCellAnchor>
    <xdr:from>
      <xdr:col>9</xdr:col>
      <xdr:colOff>646663</xdr:colOff>
      <xdr:row>28</xdr:row>
      <xdr:rowOff>30765</xdr:rowOff>
    </xdr:from>
    <xdr:to>
      <xdr:col>11</xdr:col>
      <xdr:colOff>285292</xdr:colOff>
      <xdr:row>29</xdr:row>
      <xdr:rowOff>138118</xdr:rowOff>
    </xdr:to>
    <xdr:sp macro="" textlink="'Pivote Table'!E14">
      <xdr:nvSpPr>
        <xdr:cNvPr id="37" name="TextBox 36">
          <a:extLst>
            <a:ext uri="{FF2B5EF4-FFF2-40B4-BE49-F238E27FC236}">
              <a16:creationId xmlns:a16="http://schemas.microsoft.com/office/drawing/2014/main" id="{03CBE9BF-7033-42D9-B3BB-22934E360800}"/>
            </a:ext>
          </a:extLst>
        </xdr:cNvPr>
        <xdr:cNvSpPr txBox="1"/>
      </xdr:nvSpPr>
      <xdr:spPr>
        <a:xfrm>
          <a:off x="6484831" y="5088868"/>
          <a:ext cx="93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2B3CECA-30AE-433D-96E4-AFA92CA1A8E8}" type="TxLink">
            <a:rPr lang="en-US" sz="1400" b="1" i="0" u="none" strike="noStrike">
              <a:solidFill>
                <a:schemeClr val="bg1"/>
              </a:solidFill>
              <a:latin typeface="+mn-lt"/>
              <a:ea typeface="+mn-ea"/>
              <a:cs typeface="+mn-cs"/>
            </a:rPr>
            <a:pPr marL="0" indent="0" algn="r"/>
            <a:t>959266</a:t>
          </a:fld>
          <a:endParaRPr lang="en-IN" sz="1400" b="1" i="0" u="none" strike="noStrike">
            <a:solidFill>
              <a:schemeClr val="bg1"/>
            </a:solidFill>
            <a:latin typeface="+mn-lt"/>
            <a:ea typeface="+mn-ea"/>
            <a:cs typeface="+mn-cs"/>
          </a:endParaRPr>
        </a:p>
      </xdr:txBody>
    </xdr:sp>
    <xdr:clientData/>
  </xdr:twoCellAnchor>
  <xdr:twoCellAnchor>
    <xdr:from>
      <xdr:col>9</xdr:col>
      <xdr:colOff>646663</xdr:colOff>
      <xdr:row>29</xdr:row>
      <xdr:rowOff>122288</xdr:rowOff>
    </xdr:from>
    <xdr:to>
      <xdr:col>11</xdr:col>
      <xdr:colOff>285292</xdr:colOff>
      <xdr:row>31</xdr:row>
      <xdr:rowOff>48995</xdr:rowOff>
    </xdr:to>
    <xdr:sp macro="" textlink="'Pivote Table'!E13">
      <xdr:nvSpPr>
        <xdr:cNvPr id="38" name="TextBox 37">
          <a:extLst>
            <a:ext uri="{FF2B5EF4-FFF2-40B4-BE49-F238E27FC236}">
              <a16:creationId xmlns:a16="http://schemas.microsoft.com/office/drawing/2014/main" id="{5863B7EE-477D-44C9-AD72-52140A86DCBE}"/>
            </a:ext>
          </a:extLst>
        </xdr:cNvPr>
        <xdr:cNvSpPr txBox="1"/>
      </xdr:nvSpPr>
      <xdr:spPr>
        <a:xfrm>
          <a:off x="6484831" y="5361038"/>
          <a:ext cx="93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F6FEA6D-EADB-4CB4-9937-0E49D7C9EA90}" type="TxLink">
            <a:rPr lang="en-US" sz="1400" b="1" i="0" u="none" strike="noStrike">
              <a:solidFill>
                <a:schemeClr val="bg1"/>
              </a:solidFill>
              <a:latin typeface="+mn-lt"/>
              <a:ea typeface="+mn-ea"/>
              <a:cs typeface="+mn-cs"/>
            </a:rPr>
            <a:pPr marL="0" indent="0" algn="r"/>
            <a:t>633594</a:t>
          </a:fld>
          <a:endParaRPr lang="en-IN" sz="1400" b="1" i="0" u="none" strike="noStrike">
            <a:solidFill>
              <a:schemeClr val="bg1"/>
            </a:solidFill>
            <a:latin typeface="+mn-lt"/>
            <a:ea typeface="+mn-ea"/>
            <a:cs typeface="+mn-cs"/>
          </a:endParaRPr>
        </a:p>
      </xdr:txBody>
    </xdr:sp>
    <xdr:clientData/>
  </xdr:twoCellAnchor>
  <xdr:twoCellAnchor>
    <xdr:from>
      <xdr:col>9</xdr:col>
      <xdr:colOff>646663</xdr:colOff>
      <xdr:row>31</xdr:row>
      <xdr:rowOff>33165</xdr:rowOff>
    </xdr:from>
    <xdr:to>
      <xdr:col>11</xdr:col>
      <xdr:colOff>285292</xdr:colOff>
      <xdr:row>32</xdr:row>
      <xdr:rowOff>140518</xdr:rowOff>
    </xdr:to>
    <xdr:sp macro="" textlink="'Pivote Table'!E12">
      <xdr:nvSpPr>
        <xdr:cNvPr id="39" name="TextBox 38">
          <a:extLst>
            <a:ext uri="{FF2B5EF4-FFF2-40B4-BE49-F238E27FC236}">
              <a16:creationId xmlns:a16="http://schemas.microsoft.com/office/drawing/2014/main" id="{32BA8EA8-2941-4489-8653-54DE14795087}"/>
            </a:ext>
          </a:extLst>
        </xdr:cNvPr>
        <xdr:cNvSpPr txBox="1"/>
      </xdr:nvSpPr>
      <xdr:spPr>
        <a:xfrm>
          <a:off x="6484831" y="5633208"/>
          <a:ext cx="93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82A74A8-0C60-4C0A-BC81-FD7AE49E3F34}" type="TxLink">
            <a:rPr lang="en-US" sz="1400" b="1" i="0" u="none" strike="noStrike">
              <a:solidFill>
                <a:schemeClr val="bg1"/>
              </a:solidFill>
              <a:latin typeface="+mn-lt"/>
              <a:ea typeface="+mn-ea"/>
              <a:cs typeface="+mn-cs"/>
            </a:rPr>
            <a:pPr algn="r"/>
            <a:t>613842</a:t>
          </a:fld>
          <a:endParaRPr lang="en-IN" sz="1400" b="1" i="0" u="none" strike="noStrike">
            <a:solidFill>
              <a:schemeClr val="bg1"/>
            </a:solidFill>
            <a:latin typeface="+mn-lt"/>
            <a:ea typeface="+mn-ea"/>
            <a:cs typeface="+mn-cs"/>
          </a:endParaRPr>
        </a:p>
      </xdr:txBody>
    </xdr:sp>
    <xdr:clientData/>
  </xdr:twoCellAnchor>
  <xdr:twoCellAnchor>
    <xdr:from>
      <xdr:col>9</xdr:col>
      <xdr:colOff>648682</xdr:colOff>
      <xdr:row>32</xdr:row>
      <xdr:rowOff>124688</xdr:rowOff>
    </xdr:from>
    <xdr:to>
      <xdr:col>11</xdr:col>
      <xdr:colOff>287311</xdr:colOff>
      <xdr:row>34</xdr:row>
      <xdr:rowOff>51395</xdr:rowOff>
    </xdr:to>
    <xdr:sp macro="" textlink="'Pivote Table'!E11">
      <xdr:nvSpPr>
        <xdr:cNvPr id="40" name="TextBox 39">
          <a:extLst>
            <a:ext uri="{FF2B5EF4-FFF2-40B4-BE49-F238E27FC236}">
              <a16:creationId xmlns:a16="http://schemas.microsoft.com/office/drawing/2014/main" id="{43B9D7FC-177E-4134-BD15-D37F8ECC4B27}"/>
            </a:ext>
          </a:extLst>
        </xdr:cNvPr>
        <xdr:cNvSpPr txBox="1"/>
      </xdr:nvSpPr>
      <xdr:spPr>
        <a:xfrm>
          <a:off x="6486850" y="5905378"/>
          <a:ext cx="93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28ABA59-65C3-408D-AFAC-F6FCCF5A9D35}" type="TxLink">
            <a:rPr lang="en-US" sz="1400" b="1" i="0" u="none" strike="noStrike">
              <a:solidFill>
                <a:schemeClr val="bg1"/>
              </a:solidFill>
              <a:latin typeface="+mn-lt"/>
              <a:ea typeface="+mn-ea"/>
              <a:cs typeface="+mn-cs"/>
            </a:rPr>
            <a:pPr marL="0" indent="0" algn="r"/>
            <a:t>167041</a:t>
          </a:fld>
          <a:endParaRPr lang="en-IN" sz="1400" b="1" i="0" u="none" strike="noStrike">
            <a:solidFill>
              <a:schemeClr val="bg1"/>
            </a:solidFill>
            <a:latin typeface="+mn-lt"/>
            <a:ea typeface="+mn-ea"/>
            <a:cs typeface="+mn-cs"/>
          </a:endParaRPr>
        </a:p>
      </xdr:txBody>
    </xdr:sp>
    <xdr:clientData/>
  </xdr:twoCellAnchor>
  <xdr:twoCellAnchor>
    <xdr:from>
      <xdr:col>9</xdr:col>
      <xdr:colOff>616827</xdr:colOff>
      <xdr:row>25</xdr:row>
      <xdr:rowOff>18885</xdr:rowOff>
    </xdr:from>
    <xdr:to>
      <xdr:col>11</xdr:col>
      <xdr:colOff>255456</xdr:colOff>
      <xdr:row>26</xdr:row>
      <xdr:rowOff>126239</xdr:rowOff>
    </xdr:to>
    <xdr:sp macro="" textlink="">
      <xdr:nvSpPr>
        <xdr:cNvPr id="61" name="Rectangle 60">
          <a:extLst>
            <a:ext uri="{FF2B5EF4-FFF2-40B4-BE49-F238E27FC236}">
              <a16:creationId xmlns:a16="http://schemas.microsoft.com/office/drawing/2014/main" id="{FC1BA37B-B44F-47F7-8975-82B62C2F8615}"/>
            </a:ext>
          </a:extLst>
        </xdr:cNvPr>
        <xdr:cNvSpPr/>
      </xdr:nvSpPr>
      <xdr:spPr>
        <a:xfrm>
          <a:off x="6454995" y="4535049"/>
          <a:ext cx="936000" cy="288000"/>
        </a:xfrm>
        <a:prstGeom prst="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646663</xdr:colOff>
      <xdr:row>25</xdr:row>
      <xdr:rowOff>28364</xdr:rowOff>
    </xdr:from>
    <xdr:to>
      <xdr:col>11</xdr:col>
      <xdr:colOff>285292</xdr:colOff>
      <xdr:row>26</xdr:row>
      <xdr:rowOff>135718</xdr:rowOff>
    </xdr:to>
    <xdr:sp macro="" textlink="'Pivote Table'!E16">
      <xdr:nvSpPr>
        <xdr:cNvPr id="41" name="TextBox 40">
          <a:extLst>
            <a:ext uri="{FF2B5EF4-FFF2-40B4-BE49-F238E27FC236}">
              <a16:creationId xmlns:a16="http://schemas.microsoft.com/office/drawing/2014/main" id="{456625FF-EDA8-48AB-AE43-68DE51C37B98}"/>
            </a:ext>
          </a:extLst>
        </xdr:cNvPr>
        <xdr:cNvSpPr txBox="1"/>
      </xdr:nvSpPr>
      <xdr:spPr>
        <a:xfrm>
          <a:off x="6484831" y="4544528"/>
          <a:ext cx="93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8A21FD2-297E-4655-8F36-B496C245C236}" type="TxLink">
            <a:rPr lang="en-US" sz="1400" b="1">
              <a:solidFill>
                <a:sysClr val="windowText" lastClr="000000"/>
              </a:solidFill>
              <a:latin typeface="+mn-lt"/>
              <a:ea typeface="+mn-ea"/>
              <a:cs typeface="Segoe UI Semibold" panose="020B0702040204020203" pitchFamily="34" charset="0"/>
            </a:rPr>
            <a:pPr marL="0" indent="0" algn="r"/>
            <a:t>3104913</a:t>
          </a:fld>
          <a:endParaRPr lang="en-IN" sz="1400" b="1">
            <a:solidFill>
              <a:sysClr val="windowText" lastClr="000000"/>
            </a:solidFill>
            <a:latin typeface="+mn-lt"/>
            <a:ea typeface="+mn-ea"/>
            <a:cs typeface="Segoe UI Semibold" panose="020B0702040204020203" pitchFamily="34" charset="0"/>
          </a:endParaRPr>
        </a:p>
      </xdr:txBody>
    </xdr:sp>
    <xdr:clientData/>
  </xdr:twoCellAnchor>
  <xdr:twoCellAnchor>
    <xdr:from>
      <xdr:col>21</xdr:col>
      <xdr:colOff>381000</xdr:colOff>
      <xdr:row>16</xdr:row>
      <xdr:rowOff>156460</xdr:rowOff>
    </xdr:from>
    <xdr:to>
      <xdr:col>23</xdr:col>
      <xdr:colOff>164975</xdr:colOff>
      <xdr:row>18</xdr:row>
      <xdr:rowOff>49321</xdr:rowOff>
    </xdr:to>
    <xdr:sp macro="" textlink="">
      <xdr:nvSpPr>
        <xdr:cNvPr id="42" name="Rectangle: Rounded Corners 41">
          <a:extLst>
            <a:ext uri="{FF2B5EF4-FFF2-40B4-BE49-F238E27FC236}">
              <a16:creationId xmlns:a16="http://schemas.microsoft.com/office/drawing/2014/main" id="{743D167C-88AB-472E-B901-9E439A64DB2D}"/>
            </a:ext>
          </a:extLst>
        </xdr:cNvPr>
        <xdr:cNvSpPr/>
      </xdr:nvSpPr>
      <xdr:spPr>
        <a:xfrm>
          <a:off x="13989259" y="3029575"/>
          <a:ext cx="1080000" cy="252000"/>
        </a:xfrm>
        <a:prstGeom prst="roundRect">
          <a:avLst>
            <a:gd name="adj" fmla="val 10595"/>
          </a:avLst>
        </a:prstGeom>
        <a:solidFill>
          <a:srgbClr val="282828"/>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8</xdr:col>
      <xdr:colOff>12453</xdr:colOff>
      <xdr:row>22</xdr:row>
      <xdr:rowOff>85609</xdr:rowOff>
    </xdr:from>
    <xdr:to>
      <xdr:col>9</xdr:col>
      <xdr:colOff>297421</xdr:colOff>
      <xdr:row>23</xdr:row>
      <xdr:rowOff>84962</xdr:rowOff>
    </xdr:to>
    <xdr:sp macro="" textlink="'Pivote Table'!E14">
      <xdr:nvSpPr>
        <xdr:cNvPr id="62" name="TextBox 61">
          <a:extLst>
            <a:ext uri="{FF2B5EF4-FFF2-40B4-BE49-F238E27FC236}">
              <a16:creationId xmlns:a16="http://schemas.microsoft.com/office/drawing/2014/main" id="{402FF2D2-F9FD-4BB4-8077-75E00AFDE9EC}"/>
            </a:ext>
          </a:extLst>
        </xdr:cNvPr>
        <xdr:cNvSpPr txBox="1"/>
      </xdr:nvSpPr>
      <xdr:spPr>
        <a:xfrm>
          <a:off x="5183167" y="4077038"/>
          <a:ext cx="931308" cy="180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E5B244"/>
              </a:solidFill>
              <a:latin typeface="+mn-lt"/>
              <a:ea typeface="+mn-ea"/>
              <a:cs typeface="+mn-cs"/>
            </a:rPr>
            <a:t>Salaries</a:t>
          </a:r>
        </a:p>
      </xdr:txBody>
    </xdr:sp>
    <xdr:clientData/>
  </xdr:twoCellAnchor>
  <xdr:twoCellAnchor>
    <xdr:from>
      <xdr:col>7</xdr:col>
      <xdr:colOff>573748</xdr:colOff>
      <xdr:row>23</xdr:row>
      <xdr:rowOff>130284</xdr:rowOff>
    </xdr:from>
    <xdr:to>
      <xdr:col>11</xdr:col>
      <xdr:colOff>270970</xdr:colOff>
      <xdr:row>24</xdr:row>
      <xdr:rowOff>143696</xdr:rowOff>
    </xdr:to>
    <xdr:sp macro="" textlink="'Pivote Table'!E14">
      <xdr:nvSpPr>
        <xdr:cNvPr id="63" name="TextBox 62">
          <a:extLst>
            <a:ext uri="{FF2B5EF4-FFF2-40B4-BE49-F238E27FC236}">
              <a16:creationId xmlns:a16="http://schemas.microsoft.com/office/drawing/2014/main" id="{539134F3-C103-4FCC-B5F2-91BF2396FA30}"/>
            </a:ext>
          </a:extLst>
        </xdr:cNvPr>
        <xdr:cNvSpPr txBox="1"/>
      </xdr:nvSpPr>
      <xdr:spPr>
        <a:xfrm>
          <a:off x="5098123" y="4303141"/>
          <a:ext cx="2282579" cy="194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tx1">
                  <a:lumMod val="50000"/>
                  <a:lumOff val="50000"/>
                </a:schemeClr>
              </a:solidFill>
              <a:latin typeface="+mn-lt"/>
              <a:ea typeface="+mn-ea"/>
              <a:cs typeface="+mn-cs"/>
            </a:rPr>
            <a:t>Salary Amount By Job Titles</a:t>
          </a:r>
        </a:p>
      </xdr:txBody>
    </xdr:sp>
    <xdr:clientData/>
  </xdr:twoCellAnchor>
  <xdr:twoCellAnchor>
    <xdr:from>
      <xdr:col>11</xdr:col>
      <xdr:colOff>437090</xdr:colOff>
      <xdr:row>19</xdr:row>
      <xdr:rowOff>113394</xdr:rowOff>
    </xdr:from>
    <xdr:to>
      <xdr:col>16</xdr:col>
      <xdr:colOff>255134</xdr:colOff>
      <xdr:row>20</xdr:row>
      <xdr:rowOff>159729</xdr:rowOff>
    </xdr:to>
    <xdr:sp macro="" textlink="'Pivote Table'!E14">
      <xdr:nvSpPr>
        <xdr:cNvPr id="64" name="TextBox 63">
          <a:extLst>
            <a:ext uri="{FF2B5EF4-FFF2-40B4-BE49-F238E27FC236}">
              <a16:creationId xmlns:a16="http://schemas.microsoft.com/office/drawing/2014/main" id="{16865237-2658-4BCC-B423-C56ABB10701B}"/>
            </a:ext>
          </a:extLst>
        </xdr:cNvPr>
        <xdr:cNvSpPr txBox="1"/>
      </xdr:nvSpPr>
      <xdr:spPr>
        <a:xfrm>
          <a:off x="7546822" y="3560537"/>
          <a:ext cx="3049741" cy="227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a:solidFill>
                <a:srgbClr val="E5B244"/>
              </a:solidFill>
              <a:latin typeface="+mn-lt"/>
              <a:ea typeface="+mn-ea"/>
              <a:cs typeface="+mn-cs"/>
            </a:rPr>
            <a:t>Employments</a:t>
          </a:r>
          <a:r>
            <a:rPr lang="en-US" sz="1400" b="0" i="0" u="none" strike="noStrike" baseline="0">
              <a:solidFill>
                <a:srgbClr val="E5B244"/>
              </a:solidFill>
              <a:latin typeface="+mn-lt"/>
              <a:ea typeface="+mn-ea"/>
              <a:cs typeface="+mn-cs"/>
            </a:rPr>
            <a:t> Status Breakdown</a:t>
          </a:r>
          <a:endParaRPr lang="en-US" sz="1400" b="0" i="0" u="none" strike="noStrike">
            <a:solidFill>
              <a:srgbClr val="E5B244"/>
            </a:solidFill>
            <a:latin typeface="+mn-lt"/>
            <a:ea typeface="+mn-ea"/>
            <a:cs typeface="+mn-cs"/>
          </a:endParaRPr>
        </a:p>
      </xdr:txBody>
    </xdr:sp>
    <xdr:clientData/>
  </xdr:twoCellAnchor>
  <xdr:twoCellAnchor>
    <xdr:from>
      <xdr:col>11</xdr:col>
      <xdr:colOff>306163</xdr:colOff>
      <xdr:row>20</xdr:row>
      <xdr:rowOff>85045</xdr:rowOff>
    </xdr:from>
    <xdr:to>
      <xdr:col>14</xdr:col>
      <xdr:colOff>85045</xdr:colOff>
      <xdr:row>28</xdr:row>
      <xdr:rowOff>24945</xdr:rowOff>
    </xdr:to>
    <xdr:graphicFrame macro="">
      <xdr:nvGraphicFramePr>
        <xdr:cNvPr id="65" name="Chart 64">
          <a:extLst>
            <a:ext uri="{FF2B5EF4-FFF2-40B4-BE49-F238E27FC236}">
              <a16:creationId xmlns:a16="http://schemas.microsoft.com/office/drawing/2014/main" id="{61C89724-86E3-4D53-9EE2-98AA13DAF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260804</xdr:colOff>
      <xdr:row>21</xdr:row>
      <xdr:rowOff>141742</xdr:rowOff>
    </xdr:from>
    <xdr:to>
      <xdr:col>15</xdr:col>
      <xdr:colOff>408215</xdr:colOff>
      <xdr:row>22</xdr:row>
      <xdr:rowOff>113393</xdr:rowOff>
    </xdr:to>
    <xdr:sp macro="" textlink="">
      <xdr:nvSpPr>
        <xdr:cNvPr id="66" name="Oval 65">
          <a:extLst>
            <a:ext uri="{FF2B5EF4-FFF2-40B4-BE49-F238E27FC236}">
              <a16:creationId xmlns:a16="http://schemas.microsoft.com/office/drawing/2014/main" id="{F22B9FC9-3DE7-E8C1-17C4-5006F3759F91}"/>
            </a:ext>
          </a:extLst>
        </xdr:cNvPr>
        <xdr:cNvSpPr/>
      </xdr:nvSpPr>
      <xdr:spPr>
        <a:xfrm>
          <a:off x="9955893" y="3951742"/>
          <a:ext cx="147411" cy="153080"/>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243115</xdr:colOff>
      <xdr:row>28</xdr:row>
      <xdr:rowOff>141062</xdr:rowOff>
    </xdr:from>
    <xdr:to>
      <xdr:col>15</xdr:col>
      <xdr:colOff>390526</xdr:colOff>
      <xdr:row>29</xdr:row>
      <xdr:rowOff>112713</xdr:rowOff>
    </xdr:to>
    <xdr:sp macro="" textlink="">
      <xdr:nvSpPr>
        <xdr:cNvPr id="67" name="Oval 66">
          <a:extLst>
            <a:ext uri="{FF2B5EF4-FFF2-40B4-BE49-F238E27FC236}">
              <a16:creationId xmlns:a16="http://schemas.microsoft.com/office/drawing/2014/main" id="{7F12C74F-7426-4770-BE19-8ADB52EA9A25}"/>
            </a:ext>
          </a:extLst>
        </xdr:cNvPr>
        <xdr:cNvSpPr/>
      </xdr:nvSpPr>
      <xdr:spPr>
        <a:xfrm>
          <a:off x="9938204" y="5221062"/>
          <a:ext cx="147411" cy="153080"/>
        </a:xfrm>
        <a:prstGeom prst="ellipse">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197077</xdr:colOff>
      <xdr:row>29</xdr:row>
      <xdr:rowOff>38328</xdr:rowOff>
    </xdr:from>
    <xdr:to>
      <xdr:col>13</xdr:col>
      <xdr:colOff>344488</xdr:colOff>
      <xdr:row>30</xdr:row>
      <xdr:rowOff>9980</xdr:rowOff>
    </xdr:to>
    <xdr:sp macro="" textlink="">
      <xdr:nvSpPr>
        <xdr:cNvPr id="68" name="Oval 67">
          <a:extLst>
            <a:ext uri="{FF2B5EF4-FFF2-40B4-BE49-F238E27FC236}">
              <a16:creationId xmlns:a16="http://schemas.microsoft.com/office/drawing/2014/main" id="{8907906A-07FD-4FF3-AC8F-EC093079B990}"/>
            </a:ext>
          </a:extLst>
        </xdr:cNvPr>
        <xdr:cNvSpPr/>
      </xdr:nvSpPr>
      <xdr:spPr>
        <a:xfrm>
          <a:off x="8599488" y="5299757"/>
          <a:ext cx="147411" cy="153080"/>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549956</xdr:colOff>
      <xdr:row>26</xdr:row>
      <xdr:rowOff>51026</xdr:rowOff>
    </xdr:from>
    <xdr:to>
      <xdr:col>7</xdr:col>
      <xdr:colOff>294822</xdr:colOff>
      <xdr:row>35</xdr:row>
      <xdr:rowOff>45356</xdr:rowOff>
    </xdr:to>
    <xdr:graphicFrame macro="">
      <xdr:nvGraphicFramePr>
        <xdr:cNvPr id="69" name="Chart 68">
          <a:extLst>
            <a:ext uri="{FF2B5EF4-FFF2-40B4-BE49-F238E27FC236}">
              <a16:creationId xmlns:a16="http://schemas.microsoft.com/office/drawing/2014/main" id="{02BCD3DF-2075-4471-976A-0B74B7940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62894</xdr:colOff>
      <xdr:row>22</xdr:row>
      <xdr:rowOff>102053</xdr:rowOff>
    </xdr:from>
    <xdr:to>
      <xdr:col>5</xdr:col>
      <xdr:colOff>498929</xdr:colOff>
      <xdr:row>23</xdr:row>
      <xdr:rowOff>84962</xdr:rowOff>
    </xdr:to>
    <xdr:sp macro="" textlink="'Pivote Table'!E14">
      <xdr:nvSpPr>
        <xdr:cNvPr id="70" name="TextBox 69">
          <a:extLst>
            <a:ext uri="{FF2B5EF4-FFF2-40B4-BE49-F238E27FC236}">
              <a16:creationId xmlns:a16="http://schemas.microsoft.com/office/drawing/2014/main" id="{5DD00F0A-FAEA-407B-B5DF-91DB08FD8D02}"/>
            </a:ext>
          </a:extLst>
        </xdr:cNvPr>
        <xdr:cNvSpPr txBox="1"/>
      </xdr:nvSpPr>
      <xdr:spPr>
        <a:xfrm>
          <a:off x="2648251" y="4093482"/>
          <a:ext cx="1082374" cy="164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E5B244"/>
              </a:solidFill>
              <a:latin typeface="+mn-lt"/>
              <a:ea typeface="+mn-ea"/>
              <a:cs typeface="+mn-cs"/>
            </a:rPr>
            <a:t>Age Range</a:t>
          </a:r>
        </a:p>
      </xdr:txBody>
    </xdr:sp>
    <xdr:clientData/>
  </xdr:twoCellAnchor>
  <xdr:twoCellAnchor>
    <xdr:from>
      <xdr:col>3</xdr:col>
      <xdr:colOff>607180</xdr:colOff>
      <xdr:row>23</xdr:row>
      <xdr:rowOff>101740</xdr:rowOff>
    </xdr:from>
    <xdr:to>
      <xdr:col>7</xdr:col>
      <xdr:colOff>304402</xdr:colOff>
      <xdr:row>25</xdr:row>
      <xdr:rowOff>175759</xdr:rowOff>
    </xdr:to>
    <xdr:sp macro="" textlink="'Pivote Table'!E14">
      <xdr:nvSpPr>
        <xdr:cNvPr id="71" name="TextBox 70">
          <a:extLst>
            <a:ext uri="{FF2B5EF4-FFF2-40B4-BE49-F238E27FC236}">
              <a16:creationId xmlns:a16="http://schemas.microsoft.com/office/drawing/2014/main" id="{A0AAADC9-E827-4C68-8584-2D8349ECA8F4}"/>
            </a:ext>
          </a:extLst>
        </xdr:cNvPr>
        <xdr:cNvSpPr txBox="1"/>
      </xdr:nvSpPr>
      <xdr:spPr>
        <a:xfrm>
          <a:off x="2546198" y="4274597"/>
          <a:ext cx="2282579" cy="43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tx1">
                  <a:lumMod val="50000"/>
                  <a:lumOff val="50000"/>
                </a:schemeClr>
              </a:solidFill>
              <a:latin typeface="+mn-lt"/>
              <a:ea typeface="+mn-ea"/>
              <a:cs typeface="+mn-cs"/>
            </a:rPr>
            <a:t>No. of Employees according to age ranges and genders</a:t>
          </a:r>
        </a:p>
      </xdr:txBody>
    </xdr:sp>
    <xdr:clientData/>
  </xdr:twoCellAnchor>
  <xdr:twoCellAnchor>
    <xdr:from>
      <xdr:col>6</xdr:col>
      <xdr:colOff>484869</xdr:colOff>
      <xdr:row>26</xdr:row>
      <xdr:rowOff>5668</xdr:rowOff>
    </xdr:from>
    <xdr:to>
      <xdr:col>6</xdr:col>
      <xdr:colOff>606653</xdr:colOff>
      <xdr:row>26</xdr:row>
      <xdr:rowOff>121779</xdr:rowOff>
    </xdr:to>
    <xdr:sp macro="" textlink="">
      <xdr:nvSpPr>
        <xdr:cNvPr id="73" name="Oval 72">
          <a:extLst>
            <a:ext uri="{FF2B5EF4-FFF2-40B4-BE49-F238E27FC236}">
              <a16:creationId xmlns:a16="http://schemas.microsoft.com/office/drawing/2014/main" id="{9B4A3534-93FD-4362-9EC7-DDF5ACCCF0BA}"/>
            </a:ext>
          </a:extLst>
        </xdr:cNvPr>
        <xdr:cNvSpPr/>
      </xdr:nvSpPr>
      <xdr:spPr>
        <a:xfrm>
          <a:off x="4362905" y="4722811"/>
          <a:ext cx="121784" cy="116111"/>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512536</xdr:colOff>
      <xdr:row>26</xdr:row>
      <xdr:rowOff>5667</xdr:rowOff>
    </xdr:from>
    <xdr:to>
      <xdr:col>5</xdr:col>
      <xdr:colOff>634320</xdr:colOff>
      <xdr:row>26</xdr:row>
      <xdr:rowOff>121778</xdr:rowOff>
    </xdr:to>
    <xdr:sp macro="" textlink="">
      <xdr:nvSpPr>
        <xdr:cNvPr id="74" name="Oval 73">
          <a:extLst>
            <a:ext uri="{FF2B5EF4-FFF2-40B4-BE49-F238E27FC236}">
              <a16:creationId xmlns:a16="http://schemas.microsoft.com/office/drawing/2014/main" id="{106E9CC7-7A0D-4A47-9182-498713F4A864}"/>
            </a:ext>
          </a:extLst>
        </xdr:cNvPr>
        <xdr:cNvSpPr/>
      </xdr:nvSpPr>
      <xdr:spPr>
        <a:xfrm>
          <a:off x="3744232" y="4722810"/>
          <a:ext cx="121784" cy="116111"/>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555630</xdr:colOff>
      <xdr:row>25</xdr:row>
      <xdr:rowOff>141740</xdr:rowOff>
    </xdr:from>
    <xdr:to>
      <xdr:col>7</xdr:col>
      <xdr:colOff>408214</xdr:colOff>
      <xdr:row>26</xdr:row>
      <xdr:rowOff>171415</xdr:rowOff>
    </xdr:to>
    <xdr:sp macro="" textlink="">
      <xdr:nvSpPr>
        <xdr:cNvPr id="76" name="TextBox 75">
          <a:extLst>
            <a:ext uri="{FF2B5EF4-FFF2-40B4-BE49-F238E27FC236}">
              <a16:creationId xmlns:a16="http://schemas.microsoft.com/office/drawing/2014/main" id="{3091FD05-8134-4CCE-A9A4-D16CAF2FF271}"/>
            </a:ext>
          </a:extLst>
        </xdr:cNvPr>
        <xdr:cNvSpPr txBox="1"/>
      </xdr:nvSpPr>
      <xdr:spPr>
        <a:xfrm>
          <a:off x="4433666" y="4677454"/>
          <a:ext cx="498923" cy="21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baseline="0">
              <a:solidFill>
                <a:schemeClr val="bg1"/>
              </a:solidFill>
              <a:latin typeface="+mn-lt"/>
              <a:ea typeface="+mn-ea"/>
              <a:cs typeface="Segoe UI Semibold" panose="020B0702040204020203" pitchFamily="34" charset="0"/>
            </a:rPr>
            <a:t>Male</a:t>
          </a:r>
        </a:p>
      </xdr:txBody>
    </xdr:sp>
    <xdr:clientData/>
  </xdr:twoCellAnchor>
  <xdr:twoCellAnchor>
    <xdr:from>
      <xdr:col>5</xdr:col>
      <xdr:colOff>588969</xdr:colOff>
      <xdr:row>25</xdr:row>
      <xdr:rowOff>153078</xdr:rowOff>
    </xdr:from>
    <xdr:to>
      <xdr:col>6</xdr:col>
      <xdr:colOff>544286</xdr:colOff>
      <xdr:row>26</xdr:row>
      <xdr:rowOff>148089</xdr:rowOff>
    </xdr:to>
    <xdr:sp macro="" textlink="">
      <xdr:nvSpPr>
        <xdr:cNvPr id="78" name="TextBox 77">
          <a:extLst>
            <a:ext uri="{FF2B5EF4-FFF2-40B4-BE49-F238E27FC236}">
              <a16:creationId xmlns:a16="http://schemas.microsoft.com/office/drawing/2014/main" id="{5D6DC90C-38DB-4AAB-82C7-76C4D3CA6280}"/>
            </a:ext>
          </a:extLst>
        </xdr:cNvPr>
        <xdr:cNvSpPr txBox="1"/>
      </xdr:nvSpPr>
      <xdr:spPr>
        <a:xfrm>
          <a:off x="3820665" y="4688792"/>
          <a:ext cx="601657" cy="176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baseline="0">
              <a:solidFill>
                <a:schemeClr val="bg1"/>
              </a:solidFill>
              <a:latin typeface="+mn-lt"/>
              <a:ea typeface="+mn-ea"/>
              <a:cs typeface="Segoe UI Semibold" panose="020B0702040204020203" pitchFamily="34" charset="0"/>
            </a:rPr>
            <a:t>Female</a:t>
          </a:r>
        </a:p>
      </xdr:txBody>
    </xdr:sp>
    <xdr:clientData/>
  </xdr:twoCellAnchor>
  <xdr:twoCellAnchor>
    <xdr:from>
      <xdr:col>0</xdr:col>
      <xdr:colOff>464911</xdr:colOff>
      <xdr:row>27</xdr:row>
      <xdr:rowOff>136072</xdr:rowOff>
    </xdr:from>
    <xdr:to>
      <xdr:col>2</xdr:col>
      <xdr:colOff>420720</xdr:colOff>
      <xdr:row>29</xdr:row>
      <xdr:rowOff>61996</xdr:rowOff>
    </xdr:to>
    <xdr:sp macro="" textlink="">
      <xdr:nvSpPr>
        <xdr:cNvPr id="82" name="TextBox 81">
          <a:extLst>
            <a:ext uri="{FF2B5EF4-FFF2-40B4-BE49-F238E27FC236}">
              <a16:creationId xmlns:a16="http://schemas.microsoft.com/office/drawing/2014/main" id="{D341BDDE-DF31-48EB-A760-1C14E46DB1ED}"/>
            </a:ext>
          </a:extLst>
        </xdr:cNvPr>
        <xdr:cNvSpPr txBox="1"/>
      </xdr:nvSpPr>
      <xdr:spPr>
        <a:xfrm>
          <a:off x="464911" y="5034643"/>
          <a:ext cx="1248488" cy="288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baseline="0">
              <a:solidFill>
                <a:schemeClr val="bg1"/>
              </a:solidFill>
              <a:latin typeface="+mn-lt"/>
              <a:ea typeface="+mn-ea"/>
              <a:cs typeface="Segoe UI Semibold" panose="020B0702040204020203" pitchFamily="34" charset="0"/>
            </a:rPr>
            <a:t>Branch Office</a:t>
          </a:r>
          <a:endParaRPr lang="en-IN" sz="1200" b="0">
            <a:solidFill>
              <a:schemeClr val="bg1"/>
            </a:solidFill>
            <a:latin typeface="+mn-lt"/>
            <a:cs typeface="Segoe UI Semibold" panose="020B0702040204020203" pitchFamily="34" charset="0"/>
          </a:endParaRPr>
        </a:p>
      </xdr:txBody>
    </xdr:sp>
    <xdr:clientData/>
  </xdr:twoCellAnchor>
  <xdr:twoCellAnchor>
    <xdr:from>
      <xdr:col>0</xdr:col>
      <xdr:colOff>464911</xdr:colOff>
      <xdr:row>29</xdr:row>
      <xdr:rowOff>160797</xdr:rowOff>
    </xdr:from>
    <xdr:to>
      <xdr:col>2</xdr:col>
      <xdr:colOff>420720</xdr:colOff>
      <xdr:row>31</xdr:row>
      <xdr:rowOff>87504</xdr:rowOff>
    </xdr:to>
    <xdr:sp macro="" textlink="">
      <xdr:nvSpPr>
        <xdr:cNvPr id="83" name="TextBox 82">
          <a:extLst>
            <a:ext uri="{FF2B5EF4-FFF2-40B4-BE49-F238E27FC236}">
              <a16:creationId xmlns:a16="http://schemas.microsoft.com/office/drawing/2014/main" id="{97F681A6-7CCF-4F20-B84E-535E5662F67E}"/>
            </a:ext>
          </a:extLst>
        </xdr:cNvPr>
        <xdr:cNvSpPr txBox="1"/>
      </xdr:nvSpPr>
      <xdr:spPr>
        <a:xfrm>
          <a:off x="464911" y="5422226"/>
          <a:ext cx="1248488" cy="289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a:solidFill>
                <a:schemeClr val="bg1"/>
              </a:solidFill>
              <a:latin typeface="+mn-lt"/>
              <a:cs typeface="Segoe UI Semibold" panose="020B0702040204020203" pitchFamily="34" charset="0"/>
            </a:rPr>
            <a:t>Head Office</a:t>
          </a:r>
          <a:endParaRPr lang="en-IN" sz="1200" b="0" baseline="0">
            <a:solidFill>
              <a:schemeClr val="bg1"/>
            </a:solidFill>
            <a:latin typeface="+mn-lt"/>
            <a:ea typeface="+mn-ea"/>
            <a:cs typeface="Segoe UI Semibold" panose="020B0702040204020203" pitchFamily="34" charset="0"/>
          </a:endParaRPr>
        </a:p>
      </xdr:txBody>
    </xdr:sp>
    <xdr:clientData/>
  </xdr:twoCellAnchor>
  <xdr:twoCellAnchor>
    <xdr:from>
      <xdr:col>0</xdr:col>
      <xdr:colOff>487590</xdr:colOff>
      <xdr:row>32</xdr:row>
      <xdr:rowOff>4877</xdr:rowOff>
    </xdr:from>
    <xdr:to>
      <xdr:col>2</xdr:col>
      <xdr:colOff>443399</xdr:colOff>
      <xdr:row>33</xdr:row>
      <xdr:rowOff>112229</xdr:rowOff>
    </xdr:to>
    <xdr:sp macro="" textlink="">
      <xdr:nvSpPr>
        <xdr:cNvPr id="84" name="TextBox 83">
          <a:extLst>
            <a:ext uri="{FF2B5EF4-FFF2-40B4-BE49-F238E27FC236}">
              <a16:creationId xmlns:a16="http://schemas.microsoft.com/office/drawing/2014/main" id="{B0BD08B5-7687-4670-BCCA-6F2818E88BA2}"/>
            </a:ext>
          </a:extLst>
        </xdr:cNvPr>
        <xdr:cNvSpPr txBox="1"/>
      </xdr:nvSpPr>
      <xdr:spPr>
        <a:xfrm>
          <a:off x="487590" y="5810591"/>
          <a:ext cx="1248488" cy="288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a:solidFill>
                <a:schemeClr val="bg1"/>
              </a:solidFill>
              <a:latin typeface="+mn-lt"/>
              <a:cs typeface="Segoe UI Semibold" panose="020B0702040204020203" pitchFamily="34" charset="0"/>
            </a:rPr>
            <a:t>Remote</a:t>
          </a:r>
          <a:endParaRPr lang="en-IN" sz="1200" b="0" baseline="0">
            <a:solidFill>
              <a:schemeClr val="bg1"/>
            </a:solidFill>
            <a:latin typeface="+mn-lt"/>
            <a:ea typeface="+mn-ea"/>
            <a:cs typeface="Segoe UI Semibold" panose="020B0702040204020203" pitchFamily="34" charset="0"/>
          </a:endParaRPr>
        </a:p>
      </xdr:txBody>
    </xdr:sp>
    <xdr:clientData/>
  </xdr:twoCellAnchor>
  <xdr:twoCellAnchor>
    <xdr:from>
      <xdr:col>0</xdr:col>
      <xdr:colOff>413293</xdr:colOff>
      <xdr:row>27</xdr:row>
      <xdr:rowOff>122726</xdr:rowOff>
    </xdr:from>
    <xdr:to>
      <xdr:col>3</xdr:col>
      <xdr:colOff>166275</xdr:colOff>
      <xdr:row>31</xdr:row>
      <xdr:rowOff>23411</xdr:rowOff>
    </xdr:to>
    <xdr:graphicFrame macro="">
      <xdr:nvGraphicFramePr>
        <xdr:cNvPr id="85" name="Chart 84">
          <a:extLst>
            <a:ext uri="{FF2B5EF4-FFF2-40B4-BE49-F238E27FC236}">
              <a16:creationId xmlns:a16="http://schemas.microsoft.com/office/drawing/2014/main" id="{3355197D-B15D-4BC0-928A-0E211352F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418962</xdr:colOff>
      <xdr:row>29</xdr:row>
      <xdr:rowOff>159577</xdr:rowOff>
    </xdr:from>
    <xdr:to>
      <xdr:col>3</xdr:col>
      <xdr:colOff>171944</xdr:colOff>
      <xdr:row>33</xdr:row>
      <xdr:rowOff>60263</xdr:rowOff>
    </xdr:to>
    <xdr:graphicFrame macro="">
      <xdr:nvGraphicFramePr>
        <xdr:cNvPr id="86" name="Chart 85">
          <a:extLst>
            <a:ext uri="{FF2B5EF4-FFF2-40B4-BE49-F238E27FC236}">
              <a16:creationId xmlns:a16="http://schemas.microsoft.com/office/drawing/2014/main" id="{31A189F6-6B66-407B-B8FE-AAC59B5C3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435972</xdr:colOff>
      <xdr:row>32</xdr:row>
      <xdr:rowOff>15002</xdr:rowOff>
    </xdr:from>
    <xdr:to>
      <xdr:col>3</xdr:col>
      <xdr:colOff>188954</xdr:colOff>
      <xdr:row>35</xdr:row>
      <xdr:rowOff>97116</xdr:rowOff>
    </xdr:to>
    <xdr:graphicFrame macro="">
      <xdr:nvGraphicFramePr>
        <xdr:cNvPr id="87" name="Chart 86">
          <a:extLst>
            <a:ext uri="{FF2B5EF4-FFF2-40B4-BE49-F238E27FC236}">
              <a16:creationId xmlns:a16="http://schemas.microsoft.com/office/drawing/2014/main" id="{7B36608B-A2CF-48C8-AF40-03894FEB4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622985</xdr:colOff>
      <xdr:row>29</xdr:row>
      <xdr:rowOff>10657</xdr:rowOff>
    </xdr:from>
    <xdr:to>
      <xdr:col>3</xdr:col>
      <xdr:colOff>475569</xdr:colOff>
      <xdr:row>30</xdr:row>
      <xdr:rowOff>40333</xdr:rowOff>
    </xdr:to>
    <xdr:sp macro="" textlink="'Pivote Table'!M15">
      <xdr:nvSpPr>
        <xdr:cNvPr id="94" name="TextBox 93">
          <a:extLst>
            <a:ext uri="{FF2B5EF4-FFF2-40B4-BE49-F238E27FC236}">
              <a16:creationId xmlns:a16="http://schemas.microsoft.com/office/drawing/2014/main" id="{F769019F-BFD8-47AE-86C4-60E569CC8317}"/>
            </a:ext>
          </a:extLst>
        </xdr:cNvPr>
        <xdr:cNvSpPr txBox="1"/>
      </xdr:nvSpPr>
      <xdr:spPr>
        <a:xfrm>
          <a:off x="1915664" y="5272086"/>
          <a:ext cx="498923" cy="21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7D4C109-356C-4BAA-9A3A-D97DC566A377}" type="TxLink">
            <a:rPr lang="en-US" sz="1100" b="1" i="0" u="none" strike="noStrike" baseline="0">
              <a:solidFill>
                <a:schemeClr val="bg1"/>
              </a:solidFill>
              <a:latin typeface="Aptos Narrow"/>
              <a:ea typeface="+mn-ea"/>
              <a:cs typeface="Segoe UI Semibold" panose="020B0702040204020203" pitchFamily="34" charset="0"/>
            </a:rPr>
            <a:t>46%</a:t>
          </a:fld>
          <a:endParaRPr lang="en-IN" sz="1100" b="0" baseline="0">
            <a:solidFill>
              <a:schemeClr val="bg1"/>
            </a:solidFill>
            <a:latin typeface="+mn-lt"/>
            <a:ea typeface="+mn-ea"/>
            <a:cs typeface="Segoe UI Semibold" panose="020B0702040204020203" pitchFamily="34" charset="0"/>
          </a:endParaRPr>
        </a:p>
      </xdr:txBody>
    </xdr:sp>
    <xdr:clientData/>
  </xdr:twoCellAnchor>
  <xdr:twoCellAnchor>
    <xdr:from>
      <xdr:col>2</xdr:col>
      <xdr:colOff>622304</xdr:colOff>
      <xdr:row>30</xdr:row>
      <xdr:rowOff>171563</xdr:rowOff>
    </xdr:from>
    <xdr:to>
      <xdr:col>3</xdr:col>
      <xdr:colOff>474888</xdr:colOff>
      <xdr:row>32</xdr:row>
      <xdr:rowOff>19810</xdr:rowOff>
    </xdr:to>
    <xdr:sp macro="" textlink="'Pivote Table'!M16">
      <xdr:nvSpPr>
        <xdr:cNvPr id="95" name="TextBox 94">
          <a:extLst>
            <a:ext uri="{FF2B5EF4-FFF2-40B4-BE49-F238E27FC236}">
              <a16:creationId xmlns:a16="http://schemas.microsoft.com/office/drawing/2014/main" id="{8E7E9772-5945-4FA9-9D28-26B2071F863F}"/>
            </a:ext>
          </a:extLst>
        </xdr:cNvPr>
        <xdr:cNvSpPr txBox="1"/>
      </xdr:nvSpPr>
      <xdr:spPr>
        <a:xfrm>
          <a:off x="1914983" y="5614420"/>
          <a:ext cx="498923" cy="21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EDC1A8C-5BD6-45D0-8617-26F1303167D3}" type="TxLink">
            <a:rPr lang="en-US" sz="1100" b="1" i="0" u="none" strike="noStrike" baseline="0">
              <a:solidFill>
                <a:schemeClr val="bg1"/>
              </a:solidFill>
              <a:latin typeface="Aptos Narrow"/>
              <a:ea typeface="+mn-ea"/>
              <a:cs typeface="Segoe UI Semibold" panose="020B0702040204020203" pitchFamily="34" charset="0"/>
            </a:rPr>
            <a:t>16%</a:t>
          </a:fld>
          <a:endParaRPr lang="en-IN" sz="1100" b="0" baseline="0">
            <a:solidFill>
              <a:schemeClr val="bg1"/>
            </a:solidFill>
            <a:latin typeface="+mn-lt"/>
            <a:ea typeface="+mn-ea"/>
            <a:cs typeface="Segoe UI Semibold" panose="020B0702040204020203" pitchFamily="34" charset="0"/>
          </a:endParaRPr>
        </a:p>
      </xdr:txBody>
    </xdr:sp>
    <xdr:clientData/>
  </xdr:twoCellAnchor>
  <xdr:twoCellAnchor>
    <xdr:from>
      <xdr:col>2</xdr:col>
      <xdr:colOff>638634</xdr:colOff>
      <xdr:row>33</xdr:row>
      <xdr:rowOff>37645</xdr:rowOff>
    </xdr:from>
    <xdr:to>
      <xdr:col>3</xdr:col>
      <xdr:colOff>491218</xdr:colOff>
      <xdr:row>34</xdr:row>
      <xdr:rowOff>67321</xdr:rowOff>
    </xdr:to>
    <xdr:sp macro="" textlink="'Pivote Table'!M17">
      <xdr:nvSpPr>
        <xdr:cNvPr id="96" name="TextBox 95">
          <a:extLst>
            <a:ext uri="{FF2B5EF4-FFF2-40B4-BE49-F238E27FC236}">
              <a16:creationId xmlns:a16="http://schemas.microsoft.com/office/drawing/2014/main" id="{3DA2B054-5A5D-4EF7-AF75-90D0C5313250}"/>
            </a:ext>
          </a:extLst>
        </xdr:cNvPr>
        <xdr:cNvSpPr txBox="1"/>
      </xdr:nvSpPr>
      <xdr:spPr>
        <a:xfrm>
          <a:off x="1931313" y="6024788"/>
          <a:ext cx="498923" cy="21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471969-172B-4D1D-9CAB-27F972B44D25}" type="TxLink">
            <a:rPr lang="en-US" sz="1100" b="1" i="0" u="none" strike="noStrike" baseline="0">
              <a:solidFill>
                <a:schemeClr val="bg1"/>
              </a:solidFill>
              <a:latin typeface="Aptos Narrow"/>
              <a:ea typeface="+mn-ea"/>
              <a:cs typeface="Segoe UI Semibold" panose="020B0702040204020203" pitchFamily="34" charset="0"/>
            </a:rPr>
            <a:t>38%</a:t>
          </a:fld>
          <a:endParaRPr lang="en-IN" sz="1100" b="0" baseline="0">
            <a:solidFill>
              <a:schemeClr val="bg1"/>
            </a:solidFill>
            <a:latin typeface="+mn-lt"/>
            <a:ea typeface="+mn-ea"/>
            <a:cs typeface="Segoe UI Semibold" panose="020B0702040204020203" pitchFamily="34" charset="0"/>
          </a:endParaRPr>
        </a:p>
      </xdr:txBody>
    </xdr:sp>
    <xdr:clientData/>
  </xdr:twoCellAnchor>
  <xdr:twoCellAnchor>
    <xdr:from>
      <xdr:col>0</xdr:col>
      <xdr:colOff>624095</xdr:colOff>
      <xdr:row>25</xdr:row>
      <xdr:rowOff>96383</xdr:rowOff>
    </xdr:from>
    <xdr:to>
      <xdr:col>3</xdr:col>
      <xdr:colOff>51026</xdr:colOff>
      <xdr:row>26</xdr:row>
      <xdr:rowOff>106959</xdr:rowOff>
    </xdr:to>
    <xdr:sp macro="" textlink="'Pivote Table'!E14">
      <xdr:nvSpPr>
        <xdr:cNvPr id="97" name="TextBox 96">
          <a:extLst>
            <a:ext uri="{FF2B5EF4-FFF2-40B4-BE49-F238E27FC236}">
              <a16:creationId xmlns:a16="http://schemas.microsoft.com/office/drawing/2014/main" id="{95D74E6A-96F6-4E54-92EB-86ADD2279ED5}"/>
            </a:ext>
          </a:extLst>
        </xdr:cNvPr>
        <xdr:cNvSpPr txBox="1"/>
      </xdr:nvSpPr>
      <xdr:spPr>
        <a:xfrm>
          <a:off x="624095" y="4632097"/>
          <a:ext cx="1365949" cy="192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E5B244"/>
              </a:solidFill>
              <a:latin typeface="+mn-lt"/>
              <a:ea typeface="+mn-ea"/>
              <a:cs typeface="+mn-cs"/>
            </a:rPr>
            <a:t>Work</a:t>
          </a:r>
          <a:r>
            <a:rPr lang="en-IN" sz="1400" b="0" i="0" u="none" strike="noStrike" baseline="0">
              <a:solidFill>
                <a:srgbClr val="E5B244"/>
              </a:solidFill>
              <a:latin typeface="+mn-lt"/>
              <a:ea typeface="+mn-ea"/>
              <a:cs typeface="+mn-cs"/>
            </a:rPr>
            <a:t> Location</a:t>
          </a:r>
          <a:endParaRPr lang="en-IN" sz="1400" b="0" i="0" u="none" strike="noStrike">
            <a:solidFill>
              <a:srgbClr val="E5B244"/>
            </a:solidFill>
            <a:latin typeface="+mn-lt"/>
            <a:ea typeface="+mn-ea"/>
            <a:cs typeface="+mn-cs"/>
          </a:endParaRPr>
        </a:p>
      </xdr:txBody>
    </xdr:sp>
    <xdr:clientData/>
  </xdr:twoCellAnchor>
  <xdr:twoCellAnchor>
    <xdr:from>
      <xdr:col>0</xdr:col>
      <xdr:colOff>624095</xdr:colOff>
      <xdr:row>26</xdr:row>
      <xdr:rowOff>106924</xdr:rowOff>
    </xdr:from>
    <xdr:to>
      <xdr:col>4</xdr:col>
      <xdr:colOff>321317</xdr:colOff>
      <xdr:row>27</xdr:row>
      <xdr:rowOff>120337</xdr:rowOff>
    </xdr:to>
    <xdr:sp macro="" textlink="'Pivote Table'!E14">
      <xdr:nvSpPr>
        <xdr:cNvPr id="98" name="TextBox 97">
          <a:extLst>
            <a:ext uri="{FF2B5EF4-FFF2-40B4-BE49-F238E27FC236}">
              <a16:creationId xmlns:a16="http://schemas.microsoft.com/office/drawing/2014/main" id="{B124556E-7367-4BD7-9260-E526EF625FB7}"/>
            </a:ext>
          </a:extLst>
        </xdr:cNvPr>
        <xdr:cNvSpPr txBox="1"/>
      </xdr:nvSpPr>
      <xdr:spPr>
        <a:xfrm>
          <a:off x="624095" y="4824067"/>
          <a:ext cx="2282579" cy="194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tx1">
                  <a:lumMod val="50000"/>
                  <a:lumOff val="50000"/>
                </a:schemeClr>
              </a:solidFill>
              <a:latin typeface="+mn-lt"/>
              <a:ea typeface="+mn-ea"/>
              <a:cs typeface="+mn-cs"/>
            </a:rPr>
            <a:t>Employees to Workplace</a:t>
          </a:r>
        </a:p>
      </xdr:txBody>
    </xdr:sp>
    <xdr:clientData/>
  </xdr:twoCellAnchor>
  <xdr:twoCellAnchor>
    <xdr:from>
      <xdr:col>0</xdr:col>
      <xdr:colOff>583727</xdr:colOff>
      <xdr:row>12</xdr:row>
      <xdr:rowOff>107042</xdr:rowOff>
    </xdr:from>
    <xdr:to>
      <xdr:col>3</xdr:col>
      <xdr:colOff>90715</xdr:colOff>
      <xdr:row>16</xdr:row>
      <xdr:rowOff>45358</xdr:rowOff>
    </xdr:to>
    <xdr:sp macro="" textlink="'Pivote Table'!E14">
      <xdr:nvSpPr>
        <xdr:cNvPr id="99" name="TextBox 98">
          <a:extLst>
            <a:ext uri="{FF2B5EF4-FFF2-40B4-BE49-F238E27FC236}">
              <a16:creationId xmlns:a16="http://schemas.microsoft.com/office/drawing/2014/main" id="{43AB290B-4D71-4CD4-9A81-BC0C660D44C3}"/>
            </a:ext>
          </a:extLst>
        </xdr:cNvPr>
        <xdr:cNvSpPr txBox="1"/>
      </xdr:nvSpPr>
      <xdr:spPr>
        <a:xfrm>
          <a:off x="583727" y="2284185"/>
          <a:ext cx="1446006" cy="66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800" b="1" i="0" u="none" strike="noStrike">
              <a:solidFill>
                <a:srgbClr val="E5B244"/>
              </a:solidFill>
              <a:latin typeface="+mn-lt"/>
              <a:ea typeface="+mn-ea"/>
              <a:cs typeface="+mn-cs"/>
            </a:rPr>
            <a:t>Skills Breakdown</a:t>
          </a:r>
        </a:p>
      </xdr:txBody>
    </xdr:sp>
    <xdr:clientData/>
  </xdr:twoCellAnchor>
  <xdr:twoCellAnchor>
    <xdr:from>
      <xdr:col>0</xdr:col>
      <xdr:colOff>442825</xdr:colOff>
      <xdr:row>16</xdr:row>
      <xdr:rowOff>103576</xdr:rowOff>
    </xdr:from>
    <xdr:to>
      <xdr:col>2</xdr:col>
      <xdr:colOff>487589</xdr:colOff>
      <xdr:row>18</xdr:row>
      <xdr:rowOff>30283</xdr:rowOff>
    </xdr:to>
    <xdr:sp macro="" textlink="">
      <xdr:nvSpPr>
        <xdr:cNvPr id="100" name="TextBox 99">
          <a:extLst>
            <a:ext uri="{FF2B5EF4-FFF2-40B4-BE49-F238E27FC236}">
              <a16:creationId xmlns:a16="http://schemas.microsoft.com/office/drawing/2014/main" id="{36667CFE-5D32-43D0-84E6-BE27BEF43A33}"/>
            </a:ext>
          </a:extLst>
        </xdr:cNvPr>
        <xdr:cNvSpPr txBox="1"/>
      </xdr:nvSpPr>
      <xdr:spPr>
        <a:xfrm>
          <a:off x="442825" y="3006433"/>
          <a:ext cx="1337443" cy="289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0">
              <a:solidFill>
                <a:schemeClr val="bg1"/>
              </a:solidFill>
              <a:latin typeface="+mn-lt"/>
              <a:ea typeface="+mn-ea"/>
              <a:cs typeface="Segoe UI Semibold" panose="020B0702040204020203" pitchFamily="34" charset="0"/>
            </a:rPr>
            <a:t>Communication</a:t>
          </a:r>
        </a:p>
      </xdr:txBody>
    </xdr:sp>
    <xdr:clientData/>
  </xdr:twoCellAnchor>
  <xdr:twoCellAnchor>
    <xdr:from>
      <xdr:col>0</xdr:col>
      <xdr:colOff>442825</xdr:colOff>
      <xdr:row>18</xdr:row>
      <xdr:rowOff>7187</xdr:rowOff>
    </xdr:from>
    <xdr:to>
      <xdr:col>2</xdr:col>
      <xdr:colOff>398634</xdr:colOff>
      <xdr:row>19</xdr:row>
      <xdr:rowOff>114540</xdr:rowOff>
    </xdr:to>
    <xdr:sp macro="" textlink="">
      <xdr:nvSpPr>
        <xdr:cNvPr id="101" name="TextBox 100">
          <a:extLst>
            <a:ext uri="{FF2B5EF4-FFF2-40B4-BE49-F238E27FC236}">
              <a16:creationId xmlns:a16="http://schemas.microsoft.com/office/drawing/2014/main" id="{0D7586D5-A2B5-4208-A7E5-AB7715920C5D}"/>
            </a:ext>
          </a:extLst>
        </xdr:cNvPr>
        <xdr:cNvSpPr txBox="1"/>
      </xdr:nvSpPr>
      <xdr:spPr>
        <a:xfrm>
          <a:off x="442825" y="3272901"/>
          <a:ext cx="1248488" cy="288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a:solidFill>
                <a:schemeClr val="bg1"/>
              </a:solidFill>
              <a:latin typeface="+mn-lt"/>
              <a:ea typeface="+mn-ea"/>
              <a:cs typeface="Segoe UI Semibold" panose="020B0702040204020203" pitchFamily="34" charset="0"/>
            </a:rPr>
            <a:t>Design</a:t>
          </a:r>
        </a:p>
      </xdr:txBody>
    </xdr:sp>
    <xdr:clientData/>
  </xdr:twoCellAnchor>
  <xdr:twoCellAnchor>
    <xdr:from>
      <xdr:col>0</xdr:col>
      <xdr:colOff>442825</xdr:colOff>
      <xdr:row>19</xdr:row>
      <xdr:rowOff>91444</xdr:rowOff>
    </xdr:from>
    <xdr:to>
      <xdr:col>2</xdr:col>
      <xdr:colOff>398634</xdr:colOff>
      <xdr:row>21</xdr:row>
      <xdr:rowOff>18151</xdr:rowOff>
    </xdr:to>
    <xdr:sp macro="" textlink="">
      <xdr:nvSpPr>
        <xdr:cNvPr id="102" name="TextBox 101">
          <a:extLst>
            <a:ext uri="{FF2B5EF4-FFF2-40B4-BE49-F238E27FC236}">
              <a16:creationId xmlns:a16="http://schemas.microsoft.com/office/drawing/2014/main" id="{19CFA660-B51C-46DD-943C-8A23F66E3A1B}"/>
            </a:ext>
          </a:extLst>
        </xdr:cNvPr>
        <xdr:cNvSpPr txBox="1"/>
      </xdr:nvSpPr>
      <xdr:spPr>
        <a:xfrm>
          <a:off x="442825" y="3538587"/>
          <a:ext cx="1248488" cy="289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a:solidFill>
                <a:schemeClr val="bg1"/>
              </a:solidFill>
              <a:latin typeface="+mn-lt"/>
              <a:ea typeface="+mn-ea"/>
              <a:cs typeface="Segoe UI Semibold" panose="020B0702040204020203" pitchFamily="34" charset="0"/>
            </a:rPr>
            <a:t>Excel</a:t>
          </a:r>
        </a:p>
      </xdr:txBody>
    </xdr:sp>
    <xdr:clientData/>
  </xdr:twoCellAnchor>
  <xdr:twoCellAnchor>
    <xdr:from>
      <xdr:col>0</xdr:col>
      <xdr:colOff>442825</xdr:colOff>
      <xdr:row>20</xdr:row>
      <xdr:rowOff>176484</xdr:rowOff>
    </xdr:from>
    <xdr:to>
      <xdr:col>2</xdr:col>
      <xdr:colOff>398634</xdr:colOff>
      <xdr:row>22</xdr:row>
      <xdr:rowOff>102407</xdr:rowOff>
    </xdr:to>
    <xdr:sp macro="" textlink="">
      <xdr:nvSpPr>
        <xdr:cNvPr id="103" name="TextBox 102">
          <a:extLst>
            <a:ext uri="{FF2B5EF4-FFF2-40B4-BE49-F238E27FC236}">
              <a16:creationId xmlns:a16="http://schemas.microsoft.com/office/drawing/2014/main" id="{EC419EAD-844D-48D2-9F0E-8CED91CE630A}"/>
            </a:ext>
          </a:extLst>
        </xdr:cNvPr>
        <xdr:cNvSpPr txBox="1"/>
      </xdr:nvSpPr>
      <xdr:spPr>
        <a:xfrm>
          <a:off x="442825" y="3805055"/>
          <a:ext cx="1248488" cy="288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0">
              <a:solidFill>
                <a:schemeClr val="bg1"/>
              </a:solidFill>
              <a:latin typeface="+mn-lt"/>
              <a:ea typeface="+mn-ea"/>
              <a:cs typeface="Segoe UI Semibold" panose="020B0702040204020203" pitchFamily="34" charset="0"/>
            </a:rPr>
            <a:t>Management</a:t>
          </a:r>
        </a:p>
      </xdr:txBody>
    </xdr:sp>
    <xdr:clientData/>
  </xdr:twoCellAnchor>
  <xdr:twoCellAnchor>
    <xdr:from>
      <xdr:col>0</xdr:col>
      <xdr:colOff>442825</xdr:colOff>
      <xdr:row>22</xdr:row>
      <xdr:rowOff>70466</xdr:rowOff>
    </xdr:from>
    <xdr:to>
      <xdr:col>2</xdr:col>
      <xdr:colOff>398634</xdr:colOff>
      <xdr:row>23</xdr:row>
      <xdr:rowOff>178602</xdr:rowOff>
    </xdr:to>
    <xdr:sp macro="" textlink="">
      <xdr:nvSpPr>
        <xdr:cNvPr id="104" name="TextBox 103">
          <a:extLst>
            <a:ext uri="{FF2B5EF4-FFF2-40B4-BE49-F238E27FC236}">
              <a16:creationId xmlns:a16="http://schemas.microsoft.com/office/drawing/2014/main" id="{0EF9326E-F185-47D2-8E66-1353D5A3B55B}"/>
            </a:ext>
          </a:extLst>
        </xdr:cNvPr>
        <xdr:cNvSpPr txBox="1"/>
      </xdr:nvSpPr>
      <xdr:spPr>
        <a:xfrm>
          <a:off x="442825" y="4061895"/>
          <a:ext cx="1248488" cy="289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a:solidFill>
                <a:schemeClr val="bg1"/>
              </a:solidFill>
              <a:latin typeface="+mn-lt"/>
              <a:cs typeface="Segoe UI Semibold" panose="020B0702040204020203" pitchFamily="34" charset="0"/>
            </a:rPr>
            <a:t>Python</a:t>
          </a:r>
          <a:endParaRPr lang="en-IN" sz="1400" b="0" baseline="0">
            <a:solidFill>
              <a:schemeClr val="bg1"/>
            </a:solidFill>
            <a:latin typeface="+mn-lt"/>
            <a:ea typeface="+mn-ea"/>
            <a:cs typeface="Segoe UI Semibold" panose="020B0702040204020203" pitchFamily="34" charset="0"/>
          </a:endParaRPr>
        </a:p>
      </xdr:txBody>
    </xdr:sp>
    <xdr:clientData/>
  </xdr:twoCellAnchor>
  <xdr:twoCellAnchor>
    <xdr:from>
      <xdr:col>2</xdr:col>
      <xdr:colOff>337370</xdr:colOff>
      <xdr:row>22</xdr:row>
      <xdr:rowOff>70466</xdr:rowOff>
    </xdr:from>
    <xdr:to>
      <xdr:col>3</xdr:col>
      <xdr:colOff>267031</xdr:colOff>
      <xdr:row>23</xdr:row>
      <xdr:rowOff>141038</xdr:rowOff>
    </xdr:to>
    <xdr:sp macro="" textlink="'Pivote Table'!Q15">
      <xdr:nvSpPr>
        <xdr:cNvPr id="109" name="TextBox 108">
          <a:extLst>
            <a:ext uri="{FF2B5EF4-FFF2-40B4-BE49-F238E27FC236}">
              <a16:creationId xmlns:a16="http://schemas.microsoft.com/office/drawing/2014/main" id="{904E0ACE-A322-485C-A606-617920AB8FAB}"/>
            </a:ext>
          </a:extLst>
        </xdr:cNvPr>
        <xdr:cNvSpPr txBox="1"/>
      </xdr:nvSpPr>
      <xdr:spPr>
        <a:xfrm>
          <a:off x="1630049" y="4061895"/>
          <a:ext cx="576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C74D43D-E745-4DC0-95D2-3A2D1E540706}" type="TxLink">
            <a:rPr lang="en-US" sz="1800" b="1" i="0" u="none" strike="noStrike">
              <a:solidFill>
                <a:srgbClr val="E5B244"/>
              </a:solidFill>
              <a:latin typeface="Aptos Narrow"/>
              <a:cs typeface="Segoe UI Semibold" panose="020B0702040204020203" pitchFamily="34" charset="0"/>
            </a:rPr>
            <a:pPr algn="r"/>
            <a:t>9</a:t>
          </a:fld>
          <a:endParaRPr lang="en-IN" sz="2400" b="1" baseline="0">
            <a:solidFill>
              <a:srgbClr val="E5B244"/>
            </a:solidFill>
            <a:latin typeface="+mn-lt"/>
            <a:ea typeface="+mn-ea"/>
            <a:cs typeface="Segoe UI Semibold" panose="020B0702040204020203" pitchFamily="34" charset="0"/>
          </a:endParaRPr>
        </a:p>
      </xdr:txBody>
    </xdr:sp>
    <xdr:clientData/>
  </xdr:twoCellAnchor>
  <xdr:twoCellAnchor>
    <xdr:from>
      <xdr:col>2</xdr:col>
      <xdr:colOff>337370</xdr:colOff>
      <xdr:row>20</xdr:row>
      <xdr:rowOff>143491</xdr:rowOff>
    </xdr:from>
    <xdr:to>
      <xdr:col>3</xdr:col>
      <xdr:colOff>267031</xdr:colOff>
      <xdr:row>22</xdr:row>
      <xdr:rowOff>32633</xdr:rowOff>
    </xdr:to>
    <xdr:sp macro="" textlink="'Pivote Table'!Q14">
      <xdr:nvSpPr>
        <xdr:cNvPr id="110" name="TextBox 109">
          <a:extLst>
            <a:ext uri="{FF2B5EF4-FFF2-40B4-BE49-F238E27FC236}">
              <a16:creationId xmlns:a16="http://schemas.microsoft.com/office/drawing/2014/main" id="{AEC69B2E-2B2A-4575-9BF1-53AADA483228}"/>
            </a:ext>
          </a:extLst>
        </xdr:cNvPr>
        <xdr:cNvSpPr txBox="1"/>
      </xdr:nvSpPr>
      <xdr:spPr>
        <a:xfrm>
          <a:off x="1630049" y="3772062"/>
          <a:ext cx="576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4B84662-5110-471F-95A9-A8BF90452E29}" type="TxLink">
            <a:rPr lang="en-US" sz="1800" b="1" i="0" u="none" strike="noStrike">
              <a:solidFill>
                <a:srgbClr val="E5B244"/>
              </a:solidFill>
              <a:latin typeface="Aptos Narrow"/>
              <a:cs typeface="Segoe UI Semibold" panose="020B0702040204020203" pitchFamily="34" charset="0"/>
            </a:rPr>
            <a:t>11</a:t>
          </a:fld>
          <a:endParaRPr lang="en-IN" sz="4000" b="1" baseline="0">
            <a:solidFill>
              <a:srgbClr val="E5B244"/>
            </a:solidFill>
            <a:latin typeface="+mn-lt"/>
            <a:ea typeface="+mn-ea"/>
            <a:cs typeface="Segoe UI Semibold" panose="020B0702040204020203" pitchFamily="34" charset="0"/>
          </a:endParaRPr>
        </a:p>
      </xdr:txBody>
    </xdr:sp>
    <xdr:clientData/>
  </xdr:twoCellAnchor>
  <xdr:twoCellAnchor>
    <xdr:from>
      <xdr:col>2</xdr:col>
      <xdr:colOff>337370</xdr:colOff>
      <xdr:row>19</xdr:row>
      <xdr:rowOff>74774</xdr:rowOff>
    </xdr:from>
    <xdr:to>
      <xdr:col>3</xdr:col>
      <xdr:colOff>267031</xdr:colOff>
      <xdr:row>20</xdr:row>
      <xdr:rowOff>145346</xdr:rowOff>
    </xdr:to>
    <xdr:sp macro="" textlink="'Pivote Table'!Q13">
      <xdr:nvSpPr>
        <xdr:cNvPr id="111" name="TextBox 110">
          <a:extLst>
            <a:ext uri="{FF2B5EF4-FFF2-40B4-BE49-F238E27FC236}">
              <a16:creationId xmlns:a16="http://schemas.microsoft.com/office/drawing/2014/main" id="{2D8E77C9-49FE-4D32-9363-43803DEBB4FE}"/>
            </a:ext>
          </a:extLst>
        </xdr:cNvPr>
        <xdr:cNvSpPr txBox="1"/>
      </xdr:nvSpPr>
      <xdr:spPr>
        <a:xfrm>
          <a:off x="1630049" y="3521917"/>
          <a:ext cx="576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2E4C31E-930B-47DD-8A99-0E8B40459EA4}" type="TxLink">
            <a:rPr lang="en-US" sz="1800" b="1" i="0" u="none" strike="noStrike" baseline="0">
              <a:solidFill>
                <a:srgbClr val="E5B244"/>
              </a:solidFill>
              <a:latin typeface="Aptos Narrow"/>
              <a:ea typeface="+mn-ea"/>
              <a:cs typeface="Segoe UI Semibold" panose="020B0702040204020203" pitchFamily="34" charset="0"/>
            </a:rPr>
            <a:t>7</a:t>
          </a:fld>
          <a:endParaRPr lang="en-IN" sz="4000" b="1" baseline="0">
            <a:solidFill>
              <a:srgbClr val="E5B244"/>
            </a:solidFill>
            <a:latin typeface="+mn-lt"/>
            <a:ea typeface="+mn-ea"/>
            <a:cs typeface="Segoe UI Semibold" panose="020B0702040204020203" pitchFamily="34" charset="0"/>
          </a:endParaRPr>
        </a:p>
      </xdr:txBody>
    </xdr:sp>
    <xdr:clientData/>
  </xdr:twoCellAnchor>
  <xdr:twoCellAnchor>
    <xdr:from>
      <xdr:col>2</xdr:col>
      <xdr:colOff>337370</xdr:colOff>
      <xdr:row>18</xdr:row>
      <xdr:rowOff>6058</xdr:rowOff>
    </xdr:from>
    <xdr:to>
      <xdr:col>3</xdr:col>
      <xdr:colOff>267031</xdr:colOff>
      <xdr:row>19</xdr:row>
      <xdr:rowOff>76629</xdr:rowOff>
    </xdr:to>
    <xdr:sp macro="" textlink="'Pivote Table'!Q12">
      <xdr:nvSpPr>
        <xdr:cNvPr id="112" name="TextBox 111">
          <a:extLst>
            <a:ext uri="{FF2B5EF4-FFF2-40B4-BE49-F238E27FC236}">
              <a16:creationId xmlns:a16="http://schemas.microsoft.com/office/drawing/2014/main" id="{3C92CE3F-9B21-4A8C-B552-62F16E467A60}"/>
            </a:ext>
          </a:extLst>
        </xdr:cNvPr>
        <xdr:cNvSpPr txBox="1"/>
      </xdr:nvSpPr>
      <xdr:spPr>
        <a:xfrm>
          <a:off x="1630049" y="3271772"/>
          <a:ext cx="576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38B7362-1E5A-4DFD-A669-6C956393A7C2}" type="TxLink">
            <a:rPr lang="en-US" sz="1800" b="1" i="0" u="none" strike="noStrike">
              <a:solidFill>
                <a:srgbClr val="E5B244"/>
              </a:solidFill>
              <a:latin typeface="Aptos Narrow"/>
              <a:cs typeface="Segoe UI Semibold" panose="020B0702040204020203" pitchFamily="34" charset="0"/>
            </a:rPr>
            <a:t>11</a:t>
          </a:fld>
          <a:endParaRPr lang="en-IN" sz="4000" b="1" baseline="0">
            <a:solidFill>
              <a:srgbClr val="E5B244"/>
            </a:solidFill>
            <a:latin typeface="+mn-lt"/>
            <a:ea typeface="+mn-ea"/>
            <a:cs typeface="Segoe UI Semibold" panose="020B0702040204020203" pitchFamily="34" charset="0"/>
          </a:endParaRPr>
        </a:p>
      </xdr:txBody>
    </xdr:sp>
    <xdr:clientData/>
  </xdr:twoCellAnchor>
  <xdr:twoCellAnchor>
    <xdr:from>
      <xdr:col>2</xdr:col>
      <xdr:colOff>337370</xdr:colOff>
      <xdr:row>16</xdr:row>
      <xdr:rowOff>118770</xdr:rowOff>
    </xdr:from>
    <xdr:to>
      <xdr:col>3</xdr:col>
      <xdr:colOff>267031</xdr:colOff>
      <xdr:row>18</xdr:row>
      <xdr:rowOff>7913</xdr:rowOff>
    </xdr:to>
    <xdr:sp macro="" textlink="'Pivote Table'!Q11">
      <xdr:nvSpPr>
        <xdr:cNvPr id="113" name="TextBox 112">
          <a:extLst>
            <a:ext uri="{FF2B5EF4-FFF2-40B4-BE49-F238E27FC236}">
              <a16:creationId xmlns:a16="http://schemas.microsoft.com/office/drawing/2014/main" id="{102F9AD5-070F-4C38-A67E-293E487EC785}"/>
            </a:ext>
          </a:extLst>
        </xdr:cNvPr>
        <xdr:cNvSpPr txBox="1"/>
      </xdr:nvSpPr>
      <xdr:spPr>
        <a:xfrm>
          <a:off x="1630049" y="3021627"/>
          <a:ext cx="576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1E6BD1-E395-43C1-8C5E-DDF29AD508A9}" type="TxLink">
            <a:rPr lang="en-US" sz="1800" b="0" i="0" u="none" strike="noStrike">
              <a:solidFill>
                <a:srgbClr val="E5B244"/>
              </a:solidFill>
              <a:latin typeface="Aptos Narrow"/>
              <a:cs typeface="Segoe UI Semibold" panose="020B0702040204020203" pitchFamily="34" charset="0"/>
            </a:rPr>
            <a:t>12</a:t>
          </a:fld>
          <a:endParaRPr lang="en-IN" sz="4000" b="1" baseline="0">
            <a:solidFill>
              <a:srgbClr val="E5B244"/>
            </a:solidFill>
            <a:latin typeface="+mn-lt"/>
            <a:ea typeface="+mn-ea"/>
            <a:cs typeface="Segoe UI Semibold" panose="020B0702040204020203" pitchFamily="34" charset="0"/>
          </a:endParaRPr>
        </a:p>
      </xdr:txBody>
    </xdr:sp>
    <xdr:clientData/>
  </xdr:twoCellAnchor>
  <xdr:twoCellAnchor editAs="oneCell">
    <xdr:from>
      <xdr:col>2</xdr:col>
      <xdr:colOff>11337</xdr:colOff>
      <xdr:row>8</xdr:row>
      <xdr:rowOff>68035</xdr:rowOff>
    </xdr:from>
    <xdr:to>
      <xdr:col>3</xdr:col>
      <xdr:colOff>249463</xdr:colOff>
      <xdr:row>13</xdr:row>
      <xdr:rowOff>45358</xdr:rowOff>
    </xdr:to>
    <xdr:pic>
      <xdr:nvPicPr>
        <xdr:cNvPr id="119" name="Picture 118">
          <a:extLst>
            <a:ext uri="{FF2B5EF4-FFF2-40B4-BE49-F238E27FC236}">
              <a16:creationId xmlns:a16="http://schemas.microsoft.com/office/drawing/2014/main" id="{C145BBFB-0F58-CFDB-756F-EB2F678C5D4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04016" y="1519464"/>
          <a:ext cx="884465" cy="884465"/>
        </a:xfrm>
        <a:prstGeom prst="rect">
          <a:avLst/>
        </a:prstGeom>
      </xdr:spPr>
    </xdr:pic>
    <xdr:clientData/>
  </xdr:twoCellAnchor>
  <xdr:twoCellAnchor>
    <xdr:from>
      <xdr:col>4</xdr:col>
      <xdr:colOff>5517</xdr:colOff>
      <xdr:row>8</xdr:row>
      <xdr:rowOff>56016</xdr:rowOff>
    </xdr:from>
    <xdr:to>
      <xdr:col>6</xdr:col>
      <xdr:colOff>345847</xdr:colOff>
      <xdr:row>9</xdr:row>
      <xdr:rowOff>102054</xdr:rowOff>
    </xdr:to>
    <xdr:sp macro="" textlink="'Pivote Table'!E14">
      <xdr:nvSpPr>
        <xdr:cNvPr id="120" name="TextBox 119">
          <a:extLst>
            <a:ext uri="{FF2B5EF4-FFF2-40B4-BE49-F238E27FC236}">
              <a16:creationId xmlns:a16="http://schemas.microsoft.com/office/drawing/2014/main" id="{BE72B5FE-ACD7-4449-9C58-BC48A0FB879E}"/>
            </a:ext>
          </a:extLst>
        </xdr:cNvPr>
        <xdr:cNvSpPr txBox="1"/>
      </xdr:nvSpPr>
      <xdr:spPr>
        <a:xfrm>
          <a:off x="2590874" y="1507445"/>
          <a:ext cx="1633009" cy="227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E5B244"/>
              </a:solidFill>
              <a:latin typeface="+mn-lt"/>
              <a:ea typeface="+mn-ea"/>
              <a:cs typeface="+mn-cs"/>
            </a:rPr>
            <a:t>Employees Number</a:t>
          </a:r>
        </a:p>
      </xdr:txBody>
    </xdr:sp>
    <xdr:clientData/>
  </xdr:twoCellAnchor>
  <xdr:twoCellAnchor>
    <xdr:from>
      <xdr:col>4</xdr:col>
      <xdr:colOff>208944</xdr:colOff>
      <xdr:row>9</xdr:row>
      <xdr:rowOff>106361</xdr:rowOff>
    </xdr:from>
    <xdr:to>
      <xdr:col>5</xdr:col>
      <xdr:colOff>385536</xdr:colOff>
      <xdr:row>12</xdr:row>
      <xdr:rowOff>158749</xdr:rowOff>
    </xdr:to>
    <xdr:sp macro="" textlink="'Pivote Table'!I21">
      <xdr:nvSpPr>
        <xdr:cNvPr id="121" name="TextBox 120">
          <a:extLst>
            <a:ext uri="{FF2B5EF4-FFF2-40B4-BE49-F238E27FC236}">
              <a16:creationId xmlns:a16="http://schemas.microsoft.com/office/drawing/2014/main" id="{EFBB103E-7440-41A7-A445-030F7A38956E}"/>
            </a:ext>
          </a:extLst>
        </xdr:cNvPr>
        <xdr:cNvSpPr txBox="1"/>
      </xdr:nvSpPr>
      <xdr:spPr>
        <a:xfrm>
          <a:off x="2794301" y="1739218"/>
          <a:ext cx="822931" cy="596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244441-A5BE-49ED-BB78-245245157CC7}" type="TxLink">
            <a:rPr lang="en-US" sz="4000" b="1" i="0" u="none" strike="noStrike">
              <a:solidFill>
                <a:schemeClr val="bg1"/>
              </a:solidFill>
              <a:latin typeface="Aptos Narrow"/>
              <a:ea typeface="+mn-ea"/>
              <a:cs typeface="+mn-cs"/>
            </a:rPr>
            <a:pPr marL="0" indent="0" algn="ctr"/>
            <a:t>50</a:t>
          </a:fld>
          <a:endParaRPr lang="en-IN" sz="4000" b="1" i="0" u="none" strike="noStrike">
            <a:solidFill>
              <a:schemeClr val="bg1"/>
            </a:solidFill>
            <a:latin typeface="+mn-lt"/>
            <a:ea typeface="+mn-ea"/>
            <a:cs typeface="+mn-cs"/>
          </a:endParaRPr>
        </a:p>
      </xdr:txBody>
    </xdr:sp>
    <xdr:clientData/>
  </xdr:twoCellAnchor>
  <xdr:twoCellAnchor>
    <xdr:from>
      <xdr:col>3</xdr:col>
      <xdr:colOff>628497</xdr:colOff>
      <xdr:row>12</xdr:row>
      <xdr:rowOff>66675</xdr:rowOff>
    </xdr:from>
    <xdr:to>
      <xdr:col>6</xdr:col>
      <xdr:colOff>322488</xdr:colOff>
      <xdr:row>13</xdr:row>
      <xdr:rowOff>112713</xdr:rowOff>
    </xdr:to>
    <xdr:sp macro="" textlink="">
      <xdr:nvSpPr>
        <xdr:cNvPr id="122" name="TextBox 121">
          <a:extLst>
            <a:ext uri="{FF2B5EF4-FFF2-40B4-BE49-F238E27FC236}">
              <a16:creationId xmlns:a16="http://schemas.microsoft.com/office/drawing/2014/main" id="{0A2A3B0C-EF1F-42D1-8395-9B55D02113D1}"/>
            </a:ext>
          </a:extLst>
        </xdr:cNvPr>
        <xdr:cNvSpPr txBox="1"/>
      </xdr:nvSpPr>
      <xdr:spPr>
        <a:xfrm>
          <a:off x="2567515" y="2243818"/>
          <a:ext cx="1633009" cy="227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0" i="0" u="none" strike="noStrike">
              <a:solidFill>
                <a:schemeClr val="bg1"/>
              </a:solidFill>
              <a:latin typeface="+mn-lt"/>
              <a:ea typeface="+mn-ea"/>
              <a:cs typeface="+mn-cs"/>
            </a:rPr>
            <a:t>Total Employees</a:t>
          </a:r>
        </a:p>
      </xdr:txBody>
    </xdr:sp>
    <xdr:clientData/>
  </xdr:twoCellAnchor>
  <xdr:twoCellAnchor editAs="oneCell">
    <xdr:from>
      <xdr:col>5</xdr:col>
      <xdr:colOff>646339</xdr:colOff>
      <xdr:row>9</xdr:row>
      <xdr:rowOff>75294</xdr:rowOff>
    </xdr:from>
    <xdr:to>
      <xdr:col>7</xdr:col>
      <xdr:colOff>294821</xdr:colOff>
      <xdr:row>14</xdr:row>
      <xdr:rowOff>109312</xdr:rowOff>
    </xdr:to>
    <xdr:pic>
      <xdr:nvPicPr>
        <xdr:cNvPr id="131" name="Graphic 130" descr="Users with solid fill">
          <a:extLst>
            <a:ext uri="{FF2B5EF4-FFF2-40B4-BE49-F238E27FC236}">
              <a16:creationId xmlns:a16="http://schemas.microsoft.com/office/drawing/2014/main" id="{025E11C2-96AC-70BE-31F0-5E564BC2136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78035" y="1708151"/>
          <a:ext cx="941161" cy="941161"/>
        </a:xfrm>
        <a:prstGeom prst="rect">
          <a:avLst/>
        </a:prstGeom>
      </xdr:spPr>
    </xdr:pic>
    <xdr:clientData/>
  </xdr:twoCellAnchor>
  <xdr:twoCellAnchor>
    <xdr:from>
      <xdr:col>3</xdr:col>
      <xdr:colOff>527710</xdr:colOff>
      <xdr:row>15</xdr:row>
      <xdr:rowOff>11223</xdr:rowOff>
    </xdr:from>
    <xdr:to>
      <xdr:col>5</xdr:col>
      <xdr:colOff>166340</xdr:colOff>
      <xdr:row>16</xdr:row>
      <xdr:rowOff>10576</xdr:rowOff>
    </xdr:to>
    <xdr:sp macro="" textlink="'Pivote Table'!E14">
      <xdr:nvSpPr>
        <xdr:cNvPr id="132" name="TextBox 131">
          <a:extLst>
            <a:ext uri="{FF2B5EF4-FFF2-40B4-BE49-F238E27FC236}">
              <a16:creationId xmlns:a16="http://schemas.microsoft.com/office/drawing/2014/main" id="{EA93C9E1-E459-4BF4-AD7B-FD5E98CBFF4A}"/>
            </a:ext>
          </a:extLst>
        </xdr:cNvPr>
        <xdr:cNvSpPr txBox="1"/>
      </xdr:nvSpPr>
      <xdr:spPr>
        <a:xfrm>
          <a:off x="2466728" y="2732652"/>
          <a:ext cx="931308" cy="180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E5B244"/>
              </a:solidFill>
              <a:latin typeface="+mn-lt"/>
              <a:ea typeface="+mn-ea"/>
              <a:cs typeface="+mn-cs"/>
            </a:rPr>
            <a:t>Females</a:t>
          </a:r>
        </a:p>
      </xdr:txBody>
    </xdr:sp>
    <xdr:clientData/>
  </xdr:twoCellAnchor>
  <xdr:twoCellAnchor>
    <xdr:from>
      <xdr:col>5</xdr:col>
      <xdr:colOff>464664</xdr:colOff>
      <xdr:row>15</xdr:row>
      <xdr:rowOff>21881</xdr:rowOff>
    </xdr:from>
    <xdr:to>
      <xdr:col>7</xdr:col>
      <xdr:colOff>103293</xdr:colOff>
      <xdr:row>16</xdr:row>
      <xdr:rowOff>21234</xdr:rowOff>
    </xdr:to>
    <xdr:sp macro="" textlink="'Pivote Table'!E14">
      <xdr:nvSpPr>
        <xdr:cNvPr id="133" name="TextBox 132">
          <a:extLst>
            <a:ext uri="{FF2B5EF4-FFF2-40B4-BE49-F238E27FC236}">
              <a16:creationId xmlns:a16="http://schemas.microsoft.com/office/drawing/2014/main" id="{F30D7A60-BA4A-4FD3-B2CA-68D5ED387C78}"/>
            </a:ext>
          </a:extLst>
        </xdr:cNvPr>
        <xdr:cNvSpPr txBox="1"/>
      </xdr:nvSpPr>
      <xdr:spPr>
        <a:xfrm>
          <a:off x="3696360" y="2743310"/>
          <a:ext cx="931308" cy="180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E5B244"/>
              </a:solidFill>
              <a:latin typeface="+mn-lt"/>
              <a:ea typeface="+mn-ea"/>
              <a:cs typeface="+mn-cs"/>
            </a:rPr>
            <a:t>Males</a:t>
          </a:r>
        </a:p>
      </xdr:txBody>
    </xdr:sp>
    <xdr:clientData/>
  </xdr:twoCellAnchor>
  <xdr:twoCellAnchor>
    <xdr:from>
      <xdr:col>3</xdr:col>
      <xdr:colOff>351519</xdr:colOff>
      <xdr:row>15</xdr:row>
      <xdr:rowOff>85611</xdr:rowOff>
    </xdr:from>
    <xdr:to>
      <xdr:col>5</xdr:col>
      <xdr:colOff>498841</xdr:colOff>
      <xdr:row>21</xdr:row>
      <xdr:rowOff>77040</xdr:rowOff>
    </xdr:to>
    <xdr:graphicFrame macro="">
      <xdr:nvGraphicFramePr>
        <xdr:cNvPr id="134" name="Chart 133">
          <a:extLst>
            <a:ext uri="{FF2B5EF4-FFF2-40B4-BE49-F238E27FC236}">
              <a16:creationId xmlns:a16="http://schemas.microsoft.com/office/drawing/2014/main" id="{89B31789-47AE-410A-8CD1-6838E1C10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269185</xdr:colOff>
      <xdr:row>15</xdr:row>
      <xdr:rowOff>85611</xdr:rowOff>
    </xdr:from>
    <xdr:to>
      <xdr:col>7</xdr:col>
      <xdr:colOff>416506</xdr:colOff>
      <xdr:row>21</xdr:row>
      <xdr:rowOff>77040</xdr:rowOff>
    </xdr:to>
    <xdr:graphicFrame macro="">
      <xdr:nvGraphicFramePr>
        <xdr:cNvPr id="135" name="Chart 134">
          <a:extLst>
            <a:ext uri="{FF2B5EF4-FFF2-40B4-BE49-F238E27FC236}">
              <a16:creationId xmlns:a16="http://schemas.microsoft.com/office/drawing/2014/main" id="{2C41DE5D-B0FB-420A-BA8B-23AD00120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185743</xdr:colOff>
      <xdr:row>17</xdr:row>
      <xdr:rowOff>140379</xdr:rowOff>
    </xdr:from>
    <xdr:to>
      <xdr:col>5</xdr:col>
      <xdr:colOff>38327</xdr:colOff>
      <xdr:row>18</xdr:row>
      <xdr:rowOff>170055</xdr:rowOff>
    </xdr:to>
    <xdr:sp macro="" textlink="'Pivote Table'!J20">
      <xdr:nvSpPr>
        <xdr:cNvPr id="136" name="TextBox 135">
          <a:extLst>
            <a:ext uri="{FF2B5EF4-FFF2-40B4-BE49-F238E27FC236}">
              <a16:creationId xmlns:a16="http://schemas.microsoft.com/office/drawing/2014/main" id="{9B596EEE-33DC-4F5F-873B-DB8FC27110D0}"/>
            </a:ext>
          </a:extLst>
        </xdr:cNvPr>
        <xdr:cNvSpPr txBox="1"/>
      </xdr:nvSpPr>
      <xdr:spPr>
        <a:xfrm>
          <a:off x="2771100" y="3224665"/>
          <a:ext cx="498923" cy="21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B5C7CE3-9E10-4DA4-BBBB-43C1E44A8775}" type="TxLink">
            <a:rPr lang="en-US" sz="1400" b="1" i="0" u="none" strike="noStrike" baseline="0">
              <a:solidFill>
                <a:schemeClr val="bg1"/>
              </a:solidFill>
              <a:latin typeface="Aptos Narrow"/>
              <a:ea typeface="+mn-ea"/>
              <a:cs typeface="Segoe UI Semibold" panose="020B0702040204020203" pitchFamily="34" charset="0"/>
            </a:rPr>
            <a:t>52%</a:t>
          </a:fld>
          <a:endParaRPr lang="en-IN" sz="1400" b="1" baseline="0">
            <a:solidFill>
              <a:schemeClr val="bg1"/>
            </a:solidFill>
            <a:latin typeface="+mn-lt"/>
            <a:ea typeface="+mn-ea"/>
            <a:cs typeface="Segoe UI Semibold" panose="020B0702040204020203" pitchFamily="34" charset="0"/>
          </a:endParaRPr>
        </a:p>
      </xdr:txBody>
    </xdr:sp>
    <xdr:clientData/>
  </xdr:twoCellAnchor>
  <xdr:twoCellAnchor>
    <xdr:from>
      <xdr:col>6</xdr:col>
      <xdr:colOff>71669</xdr:colOff>
      <xdr:row>17</xdr:row>
      <xdr:rowOff>145368</xdr:rowOff>
    </xdr:from>
    <xdr:to>
      <xdr:col>6</xdr:col>
      <xdr:colOff>570592</xdr:colOff>
      <xdr:row>18</xdr:row>
      <xdr:rowOff>175044</xdr:rowOff>
    </xdr:to>
    <xdr:sp macro="" textlink="'Pivote Table'!J19">
      <xdr:nvSpPr>
        <xdr:cNvPr id="137" name="TextBox 136">
          <a:extLst>
            <a:ext uri="{FF2B5EF4-FFF2-40B4-BE49-F238E27FC236}">
              <a16:creationId xmlns:a16="http://schemas.microsoft.com/office/drawing/2014/main" id="{6C36074D-2D8E-444D-B873-21C30402282E}"/>
            </a:ext>
          </a:extLst>
        </xdr:cNvPr>
        <xdr:cNvSpPr txBox="1"/>
      </xdr:nvSpPr>
      <xdr:spPr>
        <a:xfrm>
          <a:off x="3949705" y="3229654"/>
          <a:ext cx="498923" cy="21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EED6A05-484F-4D34-949F-6E0D2E4B3F76}" type="TxLink">
            <a:rPr lang="en-US" sz="1400" b="1" i="0" u="none" strike="noStrike" baseline="0">
              <a:solidFill>
                <a:schemeClr val="bg1"/>
              </a:solidFill>
              <a:latin typeface="Aptos Narrow"/>
              <a:ea typeface="+mn-ea"/>
              <a:cs typeface="Segoe UI Semibold" panose="020B0702040204020203" pitchFamily="34" charset="0"/>
            </a:rPr>
            <a:pPr marL="0" indent="0" algn="l"/>
            <a:t>48%</a:t>
          </a:fld>
          <a:endParaRPr lang="en-IN" sz="1400" b="1" i="0" u="none" strike="noStrike" baseline="0">
            <a:solidFill>
              <a:schemeClr val="bg1"/>
            </a:solidFill>
            <a:latin typeface="Aptos Narrow"/>
            <a:ea typeface="+mn-ea"/>
            <a:cs typeface="Segoe UI Semibold" panose="020B0702040204020203" pitchFamily="34" charset="0"/>
          </a:endParaRPr>
        </a:p>
      </xdr:txBody>
    </xdr:sp>
    <xdr:clientData/>
  </xdr:twoCellAnchor>
  <xdr:twoCellAnchor>
    <xdr:from>
      <xdr:col>7</xdr:col>
      <xdr:colOff>464911</xdr:colOff>
      <xdr:row>11</xdr:row>
      <xdr:rowOff>11339</xdr:rowOff>
    </xdr:from>
    <xdr:to>
      <xdr:col>11</xdr:col>
      <xdr:colOff>277812</xdr:colOff>
      <xdr:row>20</xdr:row>
      <xdr:rowOff>175759</xdr:rowOff>
    </xdr:to>
    <xdr:graphicFrame macro="">
      <xdr:nvGraphicFramePr>
        <xdr:cNvPr id="138" name="Chart 137">
          <a:extLst>
            <a:ext uri="{FF2B5EF4-FFF2-40B4-BE49-F238E27FC236}">
              <a16:creationId xmlns:a16="http://schemas.microsoft.com/office/drawing/2014/main" id="{AFC2EFAF-74CD-40F6-8609-9E544D70F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595745</xdr:colOff>
      <xdr:row>8</xdr:row>
      <xdr:rowOff>101937</xdr:rowOff>
    </xdr:from>
    <xdr:to>
      <xdr:col>10</xdr:col>
      <xdr:colOff>39686</xdr:colOff>
      <xdr:row>9</xdr:row>
      <xdr:rowOff>73706</xdr:rowOff>
    </xdr:to>
    <xdr:sp macro="" textlink="'Pivote Table'!E14">
      <xdr:nvSpPr>
        <xdr:cNvPr id="139" name="TextBox 138">
          <a:extLst>
            <a:ext uri="{FF2B5EF4-FFF2-40B4-BE49-F238E27FC236}">
              <a16:creationId xmlns:a16="http://schemas.microsoft.com/office/drawing/2014/main" id="{C5A42CBD-2DC0-4C0F-8B62-FEDAF4B3C1E7}"/>
            </a:ext>
          </a:extLst>
        </xdr:cNvPr>
        <xdr:cNvSpPr txBox="1"/>
      </xdr:nvSpPr>
      <xdr:spPr>
        <a:xfrm>
          <a:off x="5120120" y="1553366"/>
          <a:ext cx="1382959" cy="153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E5B244"/>
              </a:solidFill>
              <a:latin typeface="+mn-lt"/>
              <a:ea typeface="+mn-ea"/>
              <a:cs typeface="+mn-cs"/>
            </a:rPr>
            <a:t>Leave</a:t>
          </a:r>
          <a:r>
            <a:rPr lang="en-IN" sz="1400" b="0" i="0" u="none" strike="noStrike" baseline="0">
              <a:solidFill>
                <a:srgbClr val="E5B244"/>
              </a:solidFill>
              <a:latin typeface="+mn-lt"/>
              <a:ea typeface="+mn-ea"/>
              <a:cs typeface="+mn-cs"/>
            </a:rPr>
            <a:t> Tracking</a:t>
          </a:r>
          <a:endParaRPr lang="en-IN" sz="1400" b="0" i="0" u="none" strike="noStrike">
            <a:solidFill>
              <a:srgbClr val="E5B244"/>
            </a:solidFill>
            <a:latin typeface="+mn-lt"/>
            <a:ea typeface="+mn-ea"/>
            <a:cs typeface="+mn-cs"/>
          </a:endParaRPr>
        </a:p>
      </xdr:txBody>
    </xdr:sp>
    <xdr:clientData/>
  </xdr:twoCellAnchor>
  <xdr:twoCellAnchor>
    <xdr:from>
      <xdr:col>7</xdr:col>
      <xdr:colOff>522041</xdr:colOff>
      <xdr:row>9</xdr:row>
      <xdr:rowOff>135273</xdr:rowOff>
    </xdr:from>
    <xdr:to>
      <xdr:col>11</xdr:col>
      <xdr:colOff>219263</xdr:colOff>
      <xdr:row>10</xdr:row>
      <xdr:rowOff>148685</xdr:rowOff>
    </xdr:to>
    <xdr:sp macro="" textlink="'Pivote Table'!E14">
      <xdr:nvSpPr>
        <xdr:cNvPr id="140" name="TextBox 139">
          <a:extLst>
            <a:ext uri="{FF2B5EF4-FFF2-40B4-BE49-F238E27FC236}">
              <a16:creationId xmlns:a16="http://schemas.microsoft.com/office/drawing/2014/main" id="{B97248BC-B3F0-49EA-B1EB-8E53949A1440}"/>
            </a:ext>
          </a:extLst>
        </xdr:cNvPr>
        <xdr:cNvSpPr txBox="1"/>
      </xdr:nvSpPr>
      <xdr:spPr>
        <a:xfrm>
          <a:off x="5046416" y="1768130"/>
          <a:ext cx="2282579" cy="194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tx1">
                  <a:lumMod val="50000"/>
                  <a:lumOff val="50000"/>
                </a:schemeClr>
              </a:solidFill>
              <a:latin typeface="+mn-lt"/>
              <a:ea typeface="+mn-ea"/>
              <a:cs typeface="+mn-cs"/>
            </a:rPr>
            <a:t>Leave</a:t>
          </a:r>
          <a:r>
            <a:rPr lang="en-US" sz="1100" b="1" i="0" u="none" strike="noStrike" baseline="0">
              <a:solidFill>
                <a:schemeClr val="tx1">
                  <a:lumMod val="50000"/>
                  <a:lumOff val="50000"/>
                </a:schemeClr>
              </a:solidFill>
              <a:latin typeface="+mn-lt"/>
              <a:ea typeface="+mn-ea"/>
              <a:cs typeface="+mn-cs"/>
            </a:rPr>
            <a:t> Taken By j</a:t>
          </a:r>
          <a:r>
            <a:rPr lang="en-US" sz="1100" b="1" i="0" u="none" strike="noStrike">
              <a:solidFill>
                <a:schemeClr val="tx1">
                  <a:lumMod val="50000"/>
                  <a:lumOff val="50000"/>
                </a:schemeClr>
              </a:solidFill>
              <a:latin typeface="+mn-lt"/>
              <a:ea typeface="+mn-ea"/>
              <a:cs typeface="+mn-cs"/>
            </a:rPr>
            <a:t>ob Titles</a:t>
          </a:r>
        </a:p>
      </xdr:txBody>
    </xdr:sp>
    <xdr:clientData/>
  </xdr:twoCellAnchor>
  <xdr:twoCellAnchor>
    <xdr:from>
      <xdr:col>10</xdr:col>
      <xdr:colOff>242439</xdr:colOff>
      <xdr:row>11</xdr:row>
      <xdr:rowOff>112030</xdr:rowOff>
    </xdr:from>
    <xdr:to>
      <xdr:col>11</xdr:col>
      <xdr:colOff>28348</xdr:colOff>
      <xdr:row>12</xdr:row>
      <xdr:rowOff>147410</xdr:rowOff>
    </xdr:to>
    <xdr:sp macro="" textlink="'Pivote Table'!F15">
      <xdr:nvSpPr>
        <xdr:cNvPr id="141" name="TextBox 140">
          <a:extLst>
            <a:ext uri="{FF2B5EF4-FFF2-40B4-BE49-F238E27FC236}">
              <a16:creationId xmlns:a16="http://schemas.microsoft.com/office/drawing/2014/main" id="{1A28ED11-307B-4D97-9975-FA879C890D32}"/>
            </a:ext>
          </a:extLst>
        </xdr:cNvPr>
        <xdr:cNvSpPr txBox="1"/>
      </xdr:nvSpPr>
      <xdr:spPr>
        <a:xfrm>
          <a:off x="6705832" y="2107744"/>
          <a:ext cx="432248" cy="21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BB1050C-CD59-411E-B397-A34D9FF91D10}" type="TxLink">
            <a:rPr lang="en-US" sz="1100" b="0" i="0" u="none" strike="noStrike" baseline="0">
              <a:solidFill>
                <a:schemeClr val="bg1"/>
              </a:solidFill>
              <a:latin typeface="Aptos Narrow"/>
              <a:ea typeface="+mn-ea"/>
              <a:cs typeface="Segoe UI Semibold" panose="020B0702040204020203" pitchFamily="34" charset="0"/>
            </a:rPr>
            <a:t>122</a:t>
          </a:fld>
          <a:endParaRPr lang="en-IN" sz="1100" b="0" baseline="0">
            <a:solidFill>
              <a:schemeClr val="bg1"/>
            </a:solidFill>
            <a:latin typeface="+mn-lt"/>
            <a:ea typeface="+mn-ea"/>
            <a:cs typeface="Segoe UI Semibold" panose="020B0702040204020203" pitchFamily="34" charset="0"/>
          </a:endParaRPr>
        </a:p>
      </xdr:txBody>
    </xdr:sp>
    <xdr:clientData/>
  </xdr:twoCellAnchor>
  <xdr:twoCellAnchor>
    <xdr:from>
      <xdr:col>9</xdr:col>
      <xdr:colOff>531590</xdr:colOff>
      <xdr:row>11</xdr:row>
      <xdr:rowOff>134708</xdr:rowOff>
    </xdr:from>
    <xdr:to>
      <xdr:col>10</xdr:col>
      <xdr:colOff>384174</xdr:colOff>
      <xdr:row>12</xdr:row>
      <xdr:rowOff>164383</xdr:rowOff>
    </xdr:to>
    <xdr:sp macro="" textlink="'Pivote Table'!F14">
      <xdr:nvSpPr>
        <xdr:cNvPr id="142" name="TextBox 141">
          <a:extLst>
            <a:ext uri="{FF2B5EF4-FFF2-40B4-BE49-F238E27FC236}">
              <a16:creationId xmlns:a16="http://schemas.microsoft.com/office/drawing/2014/main" id="{E91C9913-F827-471C-93D7-44295A746ADA}"/>
            </a:ext>
          </a:extLst>
        </xdr:cNvPr>
        <xdr:cNvSpPr txBox="1"/>
      </xdr:nvSpPr>
      <xdr:spPr>
        <a:xfrm>
          <a:off x="6348644" y="2130422"/>
          <a:ext cx="498923" cy="21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6AF6324-CEFB-4626-9764-1BD3E8B6D018}" type="TxLink">
            <a:rPr lang="en-US" sz="1100" b="0" i="0" u="none" strike="noStrike" baseline="0">
              <a:solidFill>
                <a:schemeClr val="bg1"/>
              </a:solidFill>
              <a:latin typeface="Aptos Narrow"/>
              <a:ea typeface="+mn-ea"/>
              <a:cs typeface="Segoe UI Semibold" panose="020B0702040204020203" pitchFamily="34" charset="0"/>
            </a:rPr>
            <a:pPr marL="0" indent="0" algn="l"/>
            <a:t>123</a:t>
          </a:fld>
          <a:endParaRPr lang="en-IN" sz="1100" b="0" i="0" u="none" strike="noStrike" baseline="0">
            <a:solidFill>
              <a:schemeClr val="bg1"/>
            </a:solidFill>
            <a:latin typeface="Aptos Narrow"/>
            <a:ea typeface="+mn-ea"/>
            <a:cs typeface="Segoe UI Semibold" panose="020B0702040204020203" pitchFamily="34" charset="0"/>
          </a:endParaRPr>
        </a:p>
      </xdr:txBody>
    </xdr:sp>
    <xdr:clientData/>
  </xdr:twoCellAnchor>
  <xdr:twoCellAnchor>
    <xdr:from>
      <xdr:col>9</xdr:col>
      <xdr:colOff>168052</xdr:colOff>
      <xdr:row>12</xdr:row>
      <xdr:rowOff>100009</xdr:rowOff>
    </xdr:from>
    <xdr:to>
      <xdr:col>10</xdr:col>
      <xdr:colOff>20636</xdr:colOff>
      <xdr:row>13</xdr:row>
      <xdr:rowOff>129685</xdr:rowOff>
    </xdr:to>
    <xdr:sp macro="" textlink="'Pivote Table'!F13">
      <xdr:nvSpPr>
        <xdr:cNvPr id="143" name="TextBox 142">
          <a:extLst>
            <a:ext uri="{FF2B5EF4-FFF2-40B4-BE49-F238E27FC236}">
              <a16:creationId xmlns:a16="http://schemas.microsoft.com/office/drawing/2014/main" id="{B61B12AE-11BE-4786-A837-9A8112390922}"/>
            </a:ext>
          </a:extLst>
        </xdr:cNvPr>
        <xdr:cNvSpPr txBox="1"/>
      </xdr:nvSpPr>
      <xdr:spPr>
        <a:xfrm>
          <a:off x="5985106" y="2277152"/>
          <a:ext cx="498923" cy="21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53F476B-CE9A-4048-BE0D-29F36560635B}" type="TxLink">
            <a:rPr lang="en-US" sz="1100" b="0" i="0" u="none" strike="noStrike" baseline="0">
              <a:solidFill>
                <a:schemeClr val="bg1"/>
              </a:solidFill>
              <a:latin typeface="Aptos Narrow"/>
              <a:ea typeface="+mn-ea"/>
              <a:cs typeface="Segoe UI Semibold" panose="020B0702040204020203" pitchFamily="34" charset="0"/>
            </a:rPr>
            <a:pPr marL="0" indent="0" algn="l"/>
            <a:t>104</a:t>
          </a:fld>
          <a:endParaRPr lang="en-IN" sz="1100" b="0" i="0" u="none" strike="noStrike" baseline="0">
            <a:solidFill>
              <a:schemeClr val="bg1"/>
            </a:solidFill>
            <a:latin typeface="Aptos Narrow"/>
            <a:ea typeface="+mn-ea"/>
            <a:cs typeface="Segoe UI Semibold" panose="020B0702040204020203" pitchFamily="34" charset="0"/>
          </a:endParaRPr>
        </a:p>
      </xdr:txBody>
    </xdr:sp>
    <xdr:clientData/>
  </xdr:twoCellAnchor>
  <xdr:twoCellAnchor>
    <xdr:from>
      <xdr:col>8</xdr:col>
      <xdr:colOff>467864</xdr:colOff>
      <xdr:row>12</xdr:row>
      <xdr:rowOff>59641</xdr:rowOff>
    </xdr:from>
    <xdr:to>
      <xdr:col>9</xdr:col>
      <xdr:colOff>320447</xdr:colOff>
      <xdr:row>13</xdr:row>
      <xdr:rowOff>89317</xdr:rowOff>
    </xdr:to>
    <xdr:sp macro="" textlink="'Pivote Table'!F12">
      <xdr:nvSpPr>
        <xdr:cNvPr id="144" name="TextBox 143">
          <a:extLst>
            <a:ext uri="{FF2B5EF4-FFF2-40B4-BE49-F238E27FC236}">
              <a16:creationId xmlns:a16="http://schemas.microsoft.com/office/drawing/2014/main" id="{F3CF20F5-CD8E-427B-AD80-2D16CFDCA4F5}"/>
            </a:ext>
          </a:extLst>
        </xdr:cNvPr>
        <xdr:cNvSpPr txBox="1"/>
      </xdr:nvSpPr>
      <xdr:spPr>
        <a:xfrm>
          <a:off x="5638578" y="2236784"/>
          <a:ext cx="498923" cy="21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EF22B7B-EEAA-4569-AEE9-8D75C6A4DBDA}" type="TxLink">
            <a:rPr lang="en-US" sz="1100" b="0" i="0" u="none" strike="noStrike" baseline="0">
              <a:solidFill>
                <a:schemeClr val="bg1"/>
              </a:solidFill>
              <a:latin typeface="Aptos Narrow"/>
              <a:ea typeface="+mn-ea"/>
              <a:cs typeface="Segoe UI Semibold" panose="020B0702040204020203" pitchFamily="34" charset="0"/>
            </a:rPr>
            <a:pPr marL="0" indent="0" algn="l"/>
            <a:t>110</a:t>
          </a:fld>
          <a:endParaRPr lang="en-IN" sz="1100" b="0" i="0" u="none" strike="noStrike" baseline="0">
            <a:solidFill>
              <a:schemeClr val="bg1"/>
            </a:solidFill>
            <a:latin typeface="Aptos Narrow"/>
            <a:ea typeface="+mn-ea"/>
            <a:cs typeface="Segoe UI Semibold" panose="020B0702040204020203" pitchFamily="34" charset="0"/>
          </a:endParaRPr>
        </a:p>
      </xdr:txBody>
    </xdr:sp>
    <xdr:clientData/>
  </xdr:twoCellAnchor>
  <xdr:twoCellAnchor>
    <xdr:from>
      <xdr:col>8</xdr:col>
      <xdr:colOff>105006</xdr:colOff>
      <xdr:row>15</xdr:row>
      <xdr:rowOff>99328</xdr:rowOff>
    </xdr:from>
    <xdr:to>
      <xdr:col>8</xdr:col>
      <xdr:colOff>603929</xdr:colOff>
      <xdr:row>16</xdr:row>
      <xdr:rowOff>129004</xdr:rowOff>
    </xdr:to>
    <xdr:sp macro="" textlink="'Pivote Table'!F11">
      <xdr:nvSpPr>
        <xdr:cNvPr id="145" name="TextBox 144">
          <a:extLst>
            <a:ext uri="{FF2B5EF4-FFF2-40B4-BE49-F238E27FC236}">
              <a16:creationId xmlns:a16="http://schemas.microsoft.com/office/drawing/2014/main" id="{895754B3-887D-4B9A-A220-9F65559019D3}"/>
            </a:ext>
          </a:extLst>
        </xdr:cNvPr>
        <xdr:cNvSpPr txBox="1"/>
      </xdr:nvSpPr>
      <xdr:spPr>
        <a:xfrm>
          <a:off x="5275720" y="2820757"/>
          <a:ext cx="498923" cy="21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BD26DA-B466-4CF6-A1AC-63B007C3EB9C}" type="TxLink">
            <a:rPr lang="en-US" sz="1100" b="0" i="0" u="none" strike="noStrike" baseline="0">
              <a:solidFill>
                <a:schemeClr val="bg1"/>
              </a:solidFill>
              <a:latin typeface="Aptos Narrow"/>
              <a:ea typeface="+mn-ea"/>
              <a:cs typeface="Segoe UI Semibold" panose="020B0702040204020203" pitchFamily="34" charset="0"/>
            </a:rPr>
            <a:pPr marL="0" indent="0" algn="l"/>
            <a:t>28</a:t>
          </a:fld>
          <a:endParaRPr lang="en-IN" sz="1100" b="0" i="0" u="none" strike="noStrike" baseline="0">
            <a:solidFill>
              <a:schemeClr val="bg1"/>
            </a:solidFill>
            <a:latin typeface="Aptos Narrow"/>
            <a:ea typeface="+mn-ea"/>
            <a:cs typeface="Segoe UI Semibold" panose="020B0702040204020203" pitchFamily="34" charset="0"/>
          </a:endParaRPr>
        </a:p>
      </xdr:txBody>
    </xdr:sp>
    <xdr:clientData/>
  </xdr:twoCellAnchor>
  <xdr:twoCellAnchor>
    <xdr:from>
      <xdr:col>11</xdr:col>
      <xdr:colOff>442232</xdr:colOff>
      <xdr:row>12</xdr:row>
      <xdr:rowOff>68036</xdr:rowOff>
    </xdr:from>
    <xdr:to>
      <xdr:col>15</xdr:col>
      <xdr:colOff>549956</xdr:colOff>
      <xdr:row>19</xdr:row>
      <xdr:rowOff>68035</xdr:rowOff>
    </xdr:to>
    <xdr:graphicFrame macro="">
      <xdr:nvGraphicFramePr>
        <xdr:cNvPr id="147" name="Chart 146">
          <a:extLst>
            <a:ext uri="{FF2B5EF4-FFF2-40B4-BE49-F238E27FC236}">
              <a16:creationId xmlns:a16="http://schemas.microsoft.com/office/drawing/2014/main" id="{21639060-6272-4F15-A9C6-0FF36C01E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550389</xdr:colOff>
      <xdr:row>10</xdr:row>
      <xdr:rowOff>141625</xdr:rowOff>
    </xdr:from>
    <xdr:to>
      <xdr:col>13</xdr:col>
      <xdr:colOff>189018</xdr:colOff>
      <xdr:row>11</xdr:row>
      <xdr:rowOff>140978</xdr:rowOff>
    </xdr:to>
    <xdr:sp macro="" textlink="'Pivote Table'!E14">
      <xdr:nvSpPr>
        <xdr:cNvPr id="148" name="TextBox 147">
          <a:extLst>
            <a:ext uri="{FF2B5EF4-FFF2-40B4-BE49-F238E27FC236}">
              <a16:creationId xmlns:a16="http://schemas.microsoft.com/office/drawing/2014/main" id="{E9589663-031E-4389-99C6-7CA83F0BC4A7}"/>
            </a:ext>
          </a:extLst>
        </xdr:cNvPr>
        <xdr:cNvSpPr txBox="1"/>
      </xdr:nvSpPr>
      <xdr:spPr>
        <a:xfrm>
          <a:off x="7660121" y="1955911"/>
          <a:ext cx="931308" cy="180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E5B244"/>
              </a:solidFill>
              <a:latin typeface="+mn-lt"/>
              <a:ea typeface="+mn-ea"/>
              <a:cs typeface="+mn-cs"/>
            </a:rPr>
            <a:t>Regions</a:t>
          </a:r>
        </a:p>
      </xdr:txBody>
    </xdr:sp>
    <xdr:clientData/>
  </xdr:twoCellAnchor>
  <xdr:twoCellAnchor>
    <xdr:from>
      <xdr:col>11</xdr:col>
      <xdr:colOff>550389</xdr:colOff>
      <xdr:row>11</xdr:row>
      <xdr:rowOff>174961</xdr:rowOff>
    </xdr:from>
    <xdr:to>
      <xdr:col>15</xdr:col>
      <xdr:colOff>247611</xdr:colOff>
      <xdr:row>13</xdr:row>
      <xdr:rowOff>6945</xdr:rowOff>
    </xdr:to>
    <xdr:sp macro="" textlink="'Pivote Table'!E14">
      <xdr:nvSpPr>
        <xdr:cNvPr id="149" name="TextBox 148">
          <a:extLst>
            <a:ext uri="{FF2B5EF4-FFF2-40B4-BE49-F238E27FC236}">
              <a16:creationId xmlns:a16="http://schemas.microsoft.com/office/drawing/2014/main" id="{69B8A1D3-66C6-45AA-B162-6A6A30138AC9}"/>
            </a:ext>
          </a:extLst>
        </xdr:cNvPr>
        <xdr:cNvSpPr txBox="1"/>
      </xdr:nvSpPr>
      <xdr:spPr>
        <a:xfrm>
          <a:off x="7660121" y="2170675"/>
          <a:ext cx="2282579" cy="194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tx1">
                  <a:lumMod val="50000"/>
                  <a:lumOff val="50000"/>
                </a:schemeClr>
              </a:solidFill>
              <a:latin typeface="+mn-lt"/>
              <a:ea typeface="+mn-ea"/>
              <a:cs typeface="+mn-cs"/>
            </a:rPr>
            <a:t>Employees</a:t>
          </a:r>
          <a:r>
            <a:rPr lang="en-US" sz="1100" b="1" i="0" u="none" strike="noStrike" baseline="0">
              <a:solidFill>
                <a:schemeClr val="tx1">
                  <a:lumMod val="50000"/>
                  <a:lumOff val="50000"/>
                </a:schemeClr>
              </a:solidFill>
              <a:latin typeface="+mn-lt"/>
              <a:ea typeface="+mn-ea"/>
              <a:cs typeface="+mn-cs"/>
            </a:rPr>
            <a:t> per region</a:t>
          </a:r>
          <a:endParaRPr lang="en-US" sz="1100" b="1" i="0" u="none" strike="noStrike">
            <a:solidFill>
              <a:schemeClr val="tx1">
                <a:lumMod val="50000"/>
                <a:lumOff val="50000"/>
              </a:schemeClr>
            </a:solidFill>
            <a:latin typeface="+mn-lt"/>
            <a:ea typeface="+mn-ea"/>
            <a:cs typeface="+mn-cs"/>
          </a:endParaRPr>
        </a:p>
      </xdr:txBody>
    </xdr:sp>
    <xdr:clientData/>
  </xdr:twoCellAnchor>
  <xdr:twoCellAnchor>
    <xdr:from>
      <xdr:col>12</xdr:col>
      <xdr:colOff>9825</xdr:colOff>
      <xdr:row>8</xdr:row>
      <xdr:rowOff>9297</xdr:rowOff>
    </xdr:from>
    <xdr:to>
      <xdr:col>14</xdr:col>
      <xdr:colOff>350155</xdr:colOff>
      <xdr:row>9</xdr:row>
      <xdr:rowOff>55335</xdr:rowOff>
    </xdr:to>
    <xdr:sp macro="" textlink="">
      <xdr:nvSpPr>
        <xdr:cNvPr id="151" name="TextBox 150">
          <a:extLst>
            <a:ext uri="{FF2B5EF4-FFF2-40B4-BE49-F238E27FC236}">
              <a16:creationId xmlns:a16="http://schemas.microsoft.com/office/drawing/2014/main" id="{32DB4E46-23AB-4EF5-BD7A-1A29F686225B}"/>
            </a:ext>
          </a:extLst>
        </xdr:cNvPr>
        <xdr:cNvSpPr txBox="1"/>
      </xdr:nvSpPr>
      <xdr:spPr>
        <a:xfrm>
          <a:off x="7765896" y="1460726"/>
          <a:ext cx="1633009" cy="227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0" i="0" u="none" strike="noStrike">
              <a:solidFill>
                <a:schemeClr val="bg1"/>
              </a:solidFill>
              <a:latin typeface="+mn-lt"/>
              <a:ea typeface="+mn-ea"/>
              <a:cs typeface="+mn-cs"/>
            </a:rPr>
            <a:t>Average Rating</a:t>
          </a:r>
        </a:p>
      </xdr:txBody>
    </xdr:sp>
    <xdr:clientData/>
  </xdr:twoCellAnchor>
  <xdr:twoCellAnchor>
    <xdr:from>
      <xdr:col>11</xdr:col>
      <xdr:colOff>510702</xdr:colOff>
      <xdr:row>2</xdr:row>
      <xdr:rowOff>28233</xdr:rowOff>
    </xdr:from>
    <xdr:to>
      <xdr:col>14</xdr:col>
      <xdr:colOff>283482</xdr:colOff>
      <xdr:row>3</xdr:row>
      <xdr:rowOff>56696</xdr:rowOff>
    </xdr:to>
    <xdr:sp macro="" textlink="'Pivote Table'!E14">
      <xdr:nvSpPr>
        <xdr:cNvPr id="152" name="TextBox 151">
          <a:extLst>
            <a:ext uri="{FF2B5EF4-FFF2-40B4-BE49-F238E27FC236}">
              <a16:creationId xmlns:a16="http://schemas.microsoft.com/office/drawing/2014/main" id="{F6F4357D-A5B7-4B60-B4F9-0CC4F89BCEDA}"/>
            </a:ext>
          </a:extLst>
        </xdr:cNvPr>
        <xdr:cNvSpPr txBox="1"/>
      </xdr:nvSpPr>
      <xdr:spPr>
        <a:xfrm>
          <a:off x="7620434" y="391090"/>
          <a:ext cx="1711798" cy="209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0" i="0" u="none" strike="noStrike">
              <a:solidFill>
                <a:srgbClr val="E5B244"/>
              </a:solidFill>
              <a:latin typeface="+mn-lt"/>
              <a:ea typeface="+mn-ea"/>
              <a:cs typeface="+mn-cs"/>
            </a:rPr>
            <a:t>Performance</a:t>
          </a:r>
          <a:r>
            <a:rPr lang="en-IN" sz="1400" b="0" i="0" u="none" strike="noStrike" baseline="0">
              <a:solidFill>
                <a:srgbClr val="E5B244"/>
              </a:solidFill>
              <a:latin typeface="+mn-lt"/>
              <a:ea typeface="+mn-ea"/>
              <a:cs typeface="+mn-cs"/>
            </a:rPr>
            <a:t> Rating</a:t>
          </a:r>
          <a:endParaRPr lang="en-IN" sz="1400" b="0" i="0" u="none" strike="noStrike">
            <a:solidFill>
              <a:srgbClr val="E5B244"/>
            </a:solidFill>
            <a:latin typeface="+mn-lt"/>
            <a:ea typeface="+mn-ea"/>
            <a:cs typeface="+mn-cs"/>
          </a:endParaRPr>
        </a:p>
      </xdr:txBody>
    </xdr:sp>
    <xdr:clientData/>
  </xdr:twoCellAnchor>
  <xdr:twoCellAnchor>
    <xdr:from>
      <xdr:col>11</xdr:col>
      <xdr:colOff>510702</xdr:colOff>
      <xdr:row>3</xdr:row>
      <xdr:rowOff>61568</xdr:rowOff>
    </xdr:from>
    <xdr:to>
      <xdr:col>15</xdr:col>
      <xdr:colOff>207924</xdr:colOff>
      <xdr:row>4</xdr:row>
      <xdr:rowOff>74981</xdr:rowOff>
    </xdr:to>
    <xdr:sp macro="" textlink="'Pivote Table'!E14">
      <xdr:nvSpPr>
        <xdr:cNvPr id="153" name="TextBox 152">
          <a:extLst>
            <a:ext uri="{FF2B5EF4-FFF2-40B4-BE49-F238E27FC236}">
              <a16:creationId xmlns:a16="http://schemas.microsoft.com/office/drawing/2014/main" id="{C53B281C-FAE3-4750-A960-63657059BE1B}"/>
            </a:ext>
          </a:extLst>
        </xdr:cNvPr>
        <xdr:cNvSpPr txBox="1"/>
      </xdr:nvSpPr>
      <xdr:spPr>
        <a:xfrm>
          <a:off x="7620434" y="605854"/>
          <a:ext cx="2282579" cy="194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i="0" u="none" strike="noStrike">
              <a:solidFill>
                <a:schemeClr val="tx1">
                  <a:lumMod val="50000"/>
                  <a:lumOff val="50000"/>
                </a:schemeClr>
              </a:solidFill>
              <a:latin typeface="+mn-lt"/>
              <a:ea typeface="+mn-ea"/>
              <a:cs typeface="+mn-cs"/>
            </a:rPr>
            <a:t>Average Performance Rating</a:t>
          </a:r>
        </a:p>
      </xdr:txBody>
    </xdr:sp>
    <xdr:clientData/>
  </xdr:twoCellAnchor>
  <xdr:twoCellAnchor>
    <xdr:from>
      <xdr:col>12</xdr:col>
      <xdr:colOff>12953</xdr:colOff>
      <xdr:row>4</xdr:row>
      <xdr:rowOff>164605</xdr:rowOff>
    </xdr:from>
    <xdr:to>
      <xdr:col>13</xdr:col>
      <xdr:colOff>368526</xdr:colOff>
      <xdr:row>8</xdr:row>
      <xdr:rowOff>35564</xdr:rowOff>
    </xdr:to>
    <xdr:sp macro="" textlink="'Pivote Table'!W16">
      <xdr:nvSpPr>
        <xdr:cNvPr id="154" name="TextBox 153">
          <a:extLst>
            <a:ext uri="{FF2B5EF4-FFF2-40B4-BE49-F238E27FC236}">
              <a16:creationId xmlns:a16="http://schemas.microsoft.com/office/drawing/2014/main" id="{C47FF337-B533-4C15-8973-AAAE6ECA52E3}"/>
            </a:ext>
          </a:extLst>
        </xdr:cNvPr>
        <xdr:cNvSpPr txBox="1"/>
      </xdr:nvSpPr>
      <xdr:spPr>
        <a:xfrm>
          <a:off x="7769024" y="890319"/>
          <a:ext cx="1001913" cy="596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2E4925-4FB2-490C-A5B2-481F3018CF12}" type="TxLink">
            <a:rPr lang="en-US" sz="4000" b="1" i="0" u="none" strike="noStrike">
              <a:solidFill>
                <a:schemeClr val="bg1"/>
              </a:solidFill>
              <a:latin typeface="Aptos Narrow"/>
              <a:ea typeface="+mn-ea"/>
              <a:cs typeface="+mn-cs"/>
            </a:rPr>
            <a:pPr marL="0" indent="0" algn="ctr"/>
            <a:t>2.6</a:t>
          </a:fld>
          <a:endParaRPr lang="en-IN" sz="4000" b="1" i="0" u="none" strike="noStrike">
            <a:solidFill>
              <a:schemeClr val="bg1"/>
            </a:solidFill>
            <a:latin typeface="Aptos Narrow"/>
            <a:ea typeface="+mn-ea"/>
            <a:cs typeface="+mn-cs"/>
          </a:endParaRPr>
        </a:p>
      </xdr:txBody>
    </xdr:sp>
    <xdr:clientData/>
  </xdr:twoCellAnchor>
  <xdr:twoCellAnchor editAs="oneCell">
    <xdr:from>
      <xdr:col>14</xdr:col>
      <xdr:colOff>294821</xdr:colOff>
      <xdr:row>4</xdr:row>
      <xdr:rowOff>28349</xdr:rowOff>
    </xdr:from>
    <xdr:to>
      <xdr:col>15</xdr:col>
      <xdr:colOff>562882</xdr:colOff>
      <xdr:row>9</xdr:row>
      <xdr:rowOff>35606</xdr:rowOff>
    </xdr:to>
    <xdr:pic>
      <xdr:nvPicPr>
        <xdr:cNvPr id="156" name="Graphic 155" descr="Business Growth with solid fill">
          <a:extLst>
            <a:ext uri="{FF2B5EF4-FFF2-40B4-BE49-F238E27FC236}">
              <a16:creationId xmlns:a16="http://schemas.microsoft.com/office/drawing/2014/main" id="{64C71389-7F33-81B6-A003-F67DB891174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343571" y="754063"/>
          <a:ext cx="914400" cy="914400"/>
        </a:xfrm>
        <a:prstGeom prst="rect">
          <a:avLst/>
        </a:prstGeom>
      </xdr:spPr>
    </xdr:pic>
    <xdr:clientData/>
  </xdr:twoCellAnchor>
  <xdr:twoCellAnchor>
    <xdr:from>
      <xdr:col>11</xdr:col>
      <xdr:colOff>462871</xdr:colOff>
      <xdr:row>2</xdr:row>
      <xdr:rowOff>65996</xdr:rowOff>
    </xdr:from>
    <xdr:to>
      <xdr:col>11</xdr:col>
      <xdr:colOff>566285</xdr:colOff>
      <xdr:row>2</xdr:row>
      <xdr:rowOff>175079</xdr:rowOff>
    </xdr:to>
    <xdr:sp macro="" textlink="">
      <xdr:nvSpPr>
        <xdr:cNvPr id="162" name="Oval 161">
          <a:extLst>
            <a:ext uri="{FF2B5EF4-FFF2-40B4-BE49-F238E27FC236}">
              <a16:creationId xmlns:a16="http://schemas.microsoft.com/office/drawing/2014/main" id="{9AF83725-3B7C-42A4-9507-E4FD59598C69}"/>
            </a:ext>
          </a:extLst>
        </xdr:cNvPr>
        <xdr:cNvSpPr/>
      </xdr:nvSpPr>
      <xdr:spPr>
        <a:xfrm>
          <a:off x="7572603" y="428853"/>
          <a:ext cx="103414" cy="109083"/>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496209</xdr:colOff>
      <xdr:row>10</xdr:row>
      <xdr:rowOff>161699</xdr:rowOff>
    </xdr:from>
    <xdr:to>
      <xdr:col>11</xdr:col>
      <xdr:colOff>599623</xdr:colOff>
      <xdr:row>11</xdr:row>
      <xdr:rowOff>89354</xdr:rowOff>
    </xdr:to>
    <xdr:sp macro="" textlink="">
      <xdr:nvSpPr>
        <xdr:cNvPr id="163" name="Oval 162">
          <a:extLst>
            <a:ext uri="{FF2B5EF4-FFF2-40B4-BE49-F238E27FC236}">
              <a16:creationId xmlns:a16="http://schemas.microsoft.com/office/drawing/2014/main" id="{02612F11-873B-41EB-B08F-4506E372641A}"/>
            </a:ext>
          </a:extLst>
        </xdr:cNvPr>
        <xdr:cNvSpPr/>
      </xdr:nvSpPr>
      <xdr:spPr>
        <a:xfrm>
          <a:off x="7605941" y="1975985"/>
          <a:ext cx="103414" cy="109083"/>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387806</xdr:colOff>
      <xdr:row>19</xdr:row>
      <xdr:rowOff>161019</xdr:rowOff>
    </xdr:from>
    <xdr:to>
      <xdr:col>11</xdr:col>
      <xdr:colOff>491220</xdr:colOff>
      <xdr:row>20</xdr:row>
      <xdr:rowOff>88674</xdr:rowOff>
    </xdr:to>
    <xdr:sp macro="" textlink="">
      <xdr:nvSpPr>
        <xdr:cNvPr id="164" name="Oval 163">
          <a:extLst>
            <a:ext uri="{FF2B5EF4-FFF2-40B4-BE49-F238E27FC236}">
              <a16:creationId xmlns:a16="http://schemas.microsoft.com/office/drawing/2014/main" id="{AF64D51D-2820-4F8C-9C1D-51A9D28F0E34}"/>
            </a:ext>
          </a:extLst>
        </xdr:cNvPr>
        <xdr:cNvSpPr/>
      </xdr:nvSpPr>
      <xdr:spPr>
        <a:xfrm>
          <a:off x="7497538" y="3608162"/>
          <a:ext cx="103414" cy="109083"/>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528866</xdr:colOff>
      <xdr:row>8</xdr:row>
      <xdr:rowOff>120651</xdr:rowOff>
    </xdr:from>
    <xdr:to>
      <xdr:col>7</xdr:col>
      <xdr:colOff>632280</xdr:colOff>
      <xdr:row>9</xdr:row>
      <xdr:rowOff>48306</xdr:rowOff>
    </xdr:to>
    <xdr:sp macro="" textlink="">
      <xdr:nvSpPr>
        <xdr:cNvPr id="165" name="Oval 164">
          <a:extLst>
            <a:ext uri="{FF2B5EF4-FFF2-40B4-BE49-F238E27FC236}">
              <a16:creationId xmlns:a16="http://schemas.microsoft.com/office/drawing/2014/main" id="{A9B52569-0676-4709-A391-7123C95E36D9}"/>
            </a:ext>
          </a:extLst>
        </xdr:cNvPr>
        <xdr:cNvSpPr/>
      </xdr:nvSpPr>
      <xdr:spPr>
        <a:xfrm>
          <a:off x="5053241" y="1572080"/>
          <a:ext cx="103414" cy="10908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590553</xdr:colOff>
      <xdr:row>22</xdr:row>
      <xdr:rowOff>114301</xdr:rowOff>
    </xdr:from>
    <xdr:to>
      <xdr:col>8</xdr:col>
      <xdr:colOff>47628</xdr:colOff>
      <xdr:row>23</xdr:row>
      <xdr:rowOff>41956</xdr:rowOff>
    </xdr:to>
    <xdr:sp macro="" textlink="">
      <xdr:nvSpPr>
        <xdr:cNvPr id="166" name="Oval 165">
          <a:extLst>
            <a:ext uri="{FF2B5EF4-FFF2-40B4-BE49-F238E27FC236}">
              <a16:creationId xmlns:a16="http://schemas.microsoft.com/office/drawing/2014/main" id="{C746E5FB-CF3D-4C13-8449-04F9E1E26C0A}"/>
            </a:ext>
          </a:extLst>
        </xdr:cNvPr>
        <xdr:cNvSpPr/>
      </xdr:nvSpPr>
      <xdr:spPr>
        <a:xfrm>
          <a:off x="5114928" y="4105730"/>
          <a:ext cx="103414" cy="10908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589872</xdr:colOff>
      <xdr:row>8</xdr:row>
      <xdr:rowOff>113620</xdr:rowOff>
    </xdr:from>
    <xdr:to>
      <xdr:col>4</xdr:col>
      <xdr:colOff>46947</xdr:colOff>
      <xdr:row>9</xdr:row>
      <xdr:rowOff>41275</xdr:rowOff>
    </xdr:to>
    <xdr:sp macro="" textlink="">
      <xdr:nvSpPr>
        <xdr:cNvPr id="167" name="Oval 166">
          <a:extLst>
            <a:ext uri="{FF2B5EF4-FFF2-40B4-BE49-F238E27FC236}">
              <a16:creationId xmlns:a16="http://schemas.microsoft.com/office/drawing/2014/main" id="{519533B7-2BCC-41D6-A004-EF276898B432}"/>
            </a:ext>
          </a:extLst>
        </xdr:cNvPr>
        <xdr:cNvSpPr/>
      </xdr:nvSpPr>
      <xdr:spPr>
        <a:xfrm>
          <a:off x="2528890" y="1565049"/>
          <a:ext cx="103414" cy="10908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5219</xdr:colOff>
      <xdr:row>22</xdr:row>
      <xdr:rowOff>118609</xdr:rowOff>
    </xdr:from>
    <xdr:to>
      <xdr:col>4</xdr:col>
      <xdr:colOff>108633</xdr:colOff>
      <xdr:row>23</xdr:row>
      <xdr:rowOff>46264</xdr:rowOff>
    </xdr:to>
    <xdr:sp macro="" textlink="">
      <xdr:nvSpPr>
        <xdr:cNvPr id="168" name="Oval 167">
          <a:extLst>
            <a:ext uri="{FF2B5EF4-FFF2-40B4-BE49-F238E27FC236}">
              <a16:creationId xmlns:a16="http://schemas.microsoft.com/office/drawing/2014/main" id="{680280C7-D55E-465A-BBAA-07FDEB665587}"/>
            </a:ext>
          </a:extLst>
        </xdr:cNvPr>
        <xdr:cNvSpPr/>
      </xdr:nvSpPr>
      <xdr:spPr>
        <a:xfrm>
          <a:off x="2590576" y="4110038"/>
          <a:ext cx="103414" cy="10908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548824</xdr:colOff>
      <xdr:row>25</xdr:row>
      <xdr:rowOff>140609</xdr:rowOff>
    </xdr:from>
    <xdr:to>
      <xdr:col>1</xdr:col>
      <xdr:colOff>5899</xdr:colOff>
      <xdr:row>26</xdr:row>
      <xdr:rowOff>68263</xdr:rowOff>
    </xdr:to>
    <xdr:sp macro="" textlink="">
      <xdr:nvSpPr>
        <xdr:cNvPr id="169" name="Oval 168">
          <a:extLst>
            <a:ext uri="{FF2B5EF4-FFF2-40B4-BE49-F238E27FC236}">
              <a16:creationId xmlns:a16="http://schemas.microsoft.com/office/drawing/2014/main" id="{25A67F37-C08E-4DC6-9078-4655CA4E53D4}"/>
            </a:ext>
          </a:extLst>
        </xdr:cNvPr>
        <xdr:cNvSpPr/>
      </xdr:nvSpPr>
      <xdr:spPr>
        <a:xfrm>
          <a:off x="548824" y="4676323"/>
          <a:ext cx="103414" cy="10908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561294</xdr:colOff>
      <xdr:row>13</xdr:row>
      <xdr:rowOff>28349</xdr:rowOff>
    </xdr:from>
    <xdr:to>
      <xdr:col>0</xdr:col>
      <xdr:colOff>566964</xdr:colOff>
      <xdr:row>15</xdr:row>
      <xdr:rowOff>119063</xdr:rowOff>
    </xdr:to>
    <xdr:cxnSp macro="">
      <xdr:nvCxnSpPr>
        <xdr:cNvPr id="171" name="Straight Connector 170">
          <a:extLst>
            <a:ext uri="{FF2B5EF4-FFF2-40B4-BE49-F238E27FC236}">
              <a16:creationId xmlns:a16="http://schemas.microsoft.com/office/drawing/2014/main" id="{94356E66-4A78-382F-6EF3-F04BC5368416}"/>
            </a:ext>
          </a:extLst>
        </xdr:cNvPr>
        <xdr:cNvCxnSpPr/>
      </xdr:nvCxnSpPr>
      <xdr:spPr>
        <a:xfrm>
          <a:off x="561294" y="2386920"/>
          <a:ext cx="5670" cy="45357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339952</xdr:colOff>
      <xdr:row>2</xdr:row>
      <xdr:rowOff>7938</xdr:rowOff>
    </xdr:from>
    <xdr:to>
      <xdr:col>3</xdr:col>
      <xdr:colOff>493279</xdr:colOff>
      <xdr:row>5</xdr:row>
      <xdr:rowOff>127682</xdr:rowOff>
    </xdr:to>
    <xdr:sp macro="" textlink="'Pivote Table'!E14">
      <xdr:nvSpPr>
        <xdr:cNvPr id="173" name="TextBox 172">
          <a:extLst>
            <a:ext uri="{FF2B5EF4-FFF2-40B4-BE49-F238E27FC236}">
              <a16:creationId xmlns:a16="http://schemas.microsoft.com/office/drawing/2014/main" id="{7F68DB63-825D-492B-B68F-0171959CEB4C}"/>
            </a:ext>
          </a:extLst>
        </xdr:cNvPr>
        <xdr:cNvSpPr txBox="1"/>
      </xdr:nvSpPr>
      <xdr:spPr>
        <a:xfrm>
          <a:off x="986291" y="370795"/>
          <a:ext cx="1446006" cy="66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800" b="1" i="0" u="none" strike="noStrike">
              <a:solidFill>
                <a:srgbClr val="E5B244"/>
              </a:solidFill>
              <a:latin typeface="+mn-lt"/>
              <a:ea typeface="+mn-ea"/>
              <a:cs typeface="+mn-cs"/>
            </a:rPr>
            <a:t>HR</a:t>
          </a:r>
        </a:p>
        <a:p>
          <a:pPr marL="0" indent="0" algn="l"/>
          <a:r>
            <a:rPr lang="en-IN" sz="1800" b="1" i="0" u="none" strike="noStrike">
              <a:solidFill>
                <a:srgbClr val="E5B244"/>
              </a:solidFill>
              <a:latin typeface="Constantia" panose="02030602050306030303" pitchFamily="18" charset="0"/>
              <a:ea typeface="+mn-ea"/>
              <a:cs typeface="+mn-cs"/>
            </a:rPr>
            <a:t>Dashboard</a:t>
          </a:r>
        </a:p>
      </xdr:txBody>
    </xdr:sp>
    <xdr:clientData/>
  </xdr:twoCellAnchor>
  <xdr:twoCellAnchor>
    <xdr:from>
      <xdr:col>1</xdr:col>
      <xdr:colOff>334264</xdr:colOff>
      <xdr:row>5</xdr:row>
      <xdr:rowOff>43879</xdr:rowOff>
    </xdr:from>
    <xdr:to>
      <xdr:col>6</xdr:col>
      <xdr:colOff>119063</xdr:colOff>
      <xdr:row>6</xdr:row>
      <xdr:rowOff>113394</xdr:rowOff>
    </xdr:to>
    <xdr:sp macro="" textlink="'Pivote Table'!E14">
      <xdr:nvSpPr>
        <xdr:cNvPr id="174" name="TextBox 173">
          <a:extLst>
            <a:ext uri="{FF2B5EF4-FFF2-40B4-BE49-F238E27FC236}">
              <a16:creationId xmlns:a16="http://schemas.microsoft.com/office/drawing/2014/main" id="{62CFEC74-2195-45C2-95C0-E3D04B7A0DA6}"/>
            </a:ext>
          </a:extLst>
        </xdr:cNvPr>
        <xdr:cNvSpPr txBox="1"/>
      </xdr:nvSpPr>
      <xdr:spPr>
        <a:xfrm>
          <a:off x="980603" y="951022"/>
          <a:ext cx="3016496" cy="250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chemeClr val="bg2">
                  <a:lumMod val="90000"/>
                </a:schemeClr>
              </a:solidFill>
              <a:latin typeface="+mn-lt"/>
              <a:ea typeface="+mn-ea"/>
              <a:cs typeface="+mn-cs"/>
            </a:rPr>
            <a:t>Analyze  and Monitor the HR Department</a:t>
          </a:r>
        </a:p>
      </xdr:txBody>
    </xdr:sp>
    <xdr:clientData/>
  </xdr:twoCellAnchor>
  <xdr:twoCellAnchor editAs="oneCell">
    <xdr:from>
      <xdr:col>0</xdr:col>
      <xdr:colOff>323168</xdr:colOff>
      <xdr:row>1</xdr:row>
      <xdr:rowOff>175760</xdr:rowOff>
    </xdr:from>
    <xdr:to>
      <xdr:col>1</xdr:col>
      <xdr:colOff>498927</xdr:colOff>
      <xdr:row>6</xdr:row>
      <xdr:rowOff>90716</xdr:rowOff>
    </xdr:to>
    <xdr:pic>
      <xdr:nvPicPr>
        <xdr:cNvPr id="176" name="Graphic 175" descr="Building with solid fill">
          <a:extLst>
            <a:ext uri="{FF2B5EF4-FFF2-40B4-BE49-F238E27FC236}">
              <a16:creationId xmlns:a16="http://schemas.microsoft.com/office/drawing/2014/main" id="{C0CAFCF9-532B-BAF2-7D0E-F8CF91BC5C7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23168" y="357189"/>
          <a:ext cx="822098" cy="822098"/>
        </a:xfrm>
        <a:prstGeom prst="rect">
          <a:avLst/>
        </a:prstGeom>
      </xdr:spPr>
    </xdr:pic>
    <xdr:clientData/>
  </xdr:twoCellAnchor>
  <xdr:twoCellAnchor editAs="oneCell">
    <xdr:from>
      <xdr:col>4</xdr:col>
      <xdr:colOff>589644</xdr:colOff>
      <xdr:row>0</xdr:row>
      <xdr:rowOff>175760</xdr:rowOff>
    </xdr:from>
    <xdr:to>
      <xdr:col>7</xdr:col>
      <xdr:colOff>479426</xdr:colOff>
      <xdr:row>4</xdr:row>
      <xdr:rowOff>102054</xdr:rowOff>
    </xdr:to>
    <mc:AlternateContent xmlns:mc="http://schemas.openxmlformats.org/markup-compatibility/2006">
      <mc:Choice xmlns:a14="http://schemas.microsoft.com/office/drawing/2010/main" Requires="a14">
        <xdr:graphicFrame macro="">
          <xdr:nvGraphicFramePr>
            <xdr:cNvPr id="181" name="Gender 1">
              <a:extLst>
                <a:ext uri="{FF2B5EF4-FFF2-40B4-BE49-F238E27FC236}">
                  <a16:creationId xmlns:a16="http://schemas.microsoft.com/office/drawing/2014/main" id="{BC843CC8-ACEC-4CBF-8D46-5A53E2E0BC1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171977" y="175760"/>
              <a:ext cx="1826532" cy="645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572635</xdr:colOff>
      <xdr:row>0</xdr:row>
      <xdr:rowOff>175760</xdr:rowOff>
    </xdr:from>
    <xdr:to>
      <xdr:col>11</xdr:col>
      <xdr:colOff>374197</xdr:colOff>
      <xdr:row>7</xdr:row>
      <xdr:rowOff>124734</xdr:rowOff>
    </xdr:to>
    <mc:AlternateContent xmlns:mc="http://schemas.openxmlformats.org/markup-compatibility/2006">
      <mc:Choice xmlns:a14="http://schemas.microsoft.com/office/drawing/2010/main" Requires="a14">
        <xdr:graphicFrame macro="">
          <xdr:nvGraphicFramePr>
            <xdr:cNvPr id="182" name="Department 1">
              <a:extLst>
                <a:ext uri="{FF2B5EF4-FFF2-40B4-BE49-F238E27FC236}">
                  <a16:creationId xmlns:a16="http://schemas.microsoft.com/office/drawing/2014/main" id="{50352A79-95BD-4057-9CE1-00E7776F699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091718" y="175760"/>
              <a:ext cx="2383896" cy="1208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73460</xdr:colOff>
      <xdr:row>1</xdr:row>
      <xdr:rowOff>61570</xdr:rowOff>
    </xdr:from>
    <xdr:to>
      <xdr:col>10</xdr:col>
      <xdr:colOff>492579</xdr:colOff>
      <xdr:row>2</xdr:row>
      <xdr:rowOff>90034</xdr:rowOff>
    </xdr:to>
    <xdr:sp macro="" textlink="'Pivote Table'!E14">
      <xdr:nvSpPr>
        <xdr:cNvPr id="183" name="TextBox 182">
          <a:extLst>
            <a:ext uri="{FF2B5EF4-FFF2-40B4-BE49-F238E27FC236}">
              <a16:creationId xmlns:a16="http://schemas.microsoft.com/office/drawing/2014/main" id="{256D2F68-A03B-46D4-A5F9-7F2EB33836A4}"/>
            </a:ext>
          </a:extLst>
        </xdr:cNvPr>
        <xdr:cNvSpPr txBox="1"/>
      </xdr:nvSpPr>
      <xdr:spPr>
        <a:xfrm>
          <a:off x="5244174" y="242999"/>
          <a:ext cx="1711798" cy="209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1" i="0" u="none" strike="noStrike">
              <a:solidFill>
                <a:schemeClr val="bg1"/>
              </a:solidFill>
              <a:latin typeface="+mn-lt"/>
              <a:ea typeface="+mn-ea"/>
              <a:cs typeface="+mn-cs"/>
            </a:rPr>
            <a:t>Filter By Department</a:t>
          </a:r>
        </a:p>
      </xdr:txBody>
    </xdr:sp>
    <xdr:clientData/>
  </xdr:twoCellAnchor>
  <xdr:twoCellAnchor>
    <xdr:from>
      <xdr:col>8</xdr:col>
      <xdr:colOff>25629</xdr:colOff>
      <xdr:row>1</xdr:row>
      <xdr:rowOff>99333</xdr:rowOff>
    </xdr:from>
    <xdr:to>
      <xdr:col>8</xdr:col>
      <xdr:colOff>129043</xdr:colOff>
      <xdr:row>2</xdr:row>
      <xdr:rowOff>26988</xdr:rowOff>
    </xdr:to>
    <xdr:sp macro="" textlink="">
      <xdr:nvSpPr>
        <xdr:cNvPr id="184" name="Oval 183">
          <a:extLst>
            <a:ext uri="{FF2B5EF4-FFF2-40B4-BE49-F238E27FC236}">
              <a16:creationId xmlns:a16="http://schemas.microsoft.com/office/drawing/2014/main" id="{4F398EAF-FAEB-4E06-A17E-EE0FB388BA63}"/>
            </a:ext>
          </a:extLst>
        </xdr:cNvPr>
        <xdr:cNvSpPr/>
      </xdr:nvSpPr>
      <xdr:spPr>
        <a:xfrm>
          <a:off x="5196343" y="280762"/>
          <a:ext cx="103414" cy="109083"/>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554699</xdr:colOff>
      <xdr:row>1</xdr:row>
      <xdr:rowOff>61570</xdr:rowOff>
    </xdr:from>
    <xdr:to>
      <xdr:col>7</xdr:col>
      <xdr:colOff>327479</xdr:colOff>
      <xdr:row>2</xdr:row>
      <xdr:rowOff>90034</xdr:rowOff>
    </xdr:to>
    <xdr:sp macro="" textlink="'Pivote Table'!E14">
      <xdr:nvSpPr>
        <xdr:cNvPr id="185" name="TextBox 184">
          <a:extLst>
            <a:ext uri="{FF2B5EF4-FFF2-40B4-BE49-F238E27FC236}">
              <a16:creationId xmlns:a16="http://schemas.microsoft.com/office/drawing/2014/main" id="{85A465E2-3D33-440F-BA13-1F0CD0BB48B3}"/>
            </a:ext>
          </a:extLst>
        </xdr:cNvPr>
        <xdr:cNvSpPr txBox="1"/>
      </xdr:nvSpPr>
      <xdr:spPr>
        <a:xfrm>
          <a:off x="3140056" y="242999"/>
          <a:ext cx="1711798" cy="209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1" i="0" u="none" strike="noStrike">
              <a:solidFill>
                <a:schemeClr val="bg1"/>
              </a:solidFill>
              <a:latin typeface="+mn-lt"/>
              <a:ea typeface="+mn-ea"/>
              <a:cs typeface="+mn-cs"/>
            </a:rPr>
            <a:t>Filter</a:t>
          </a:r>
          <a:r>
            <a:rPr lang="en-IN" sz="1200" b="1" i="0" u="none" strike="noStrike" baseline="0">
              <a:solidFill>
                <a:schemeClr val="bg1"/>
              </a:solidFill>
              <a:latin typeface="+mn-lt"/>
              <a:ea typeface="+mn-ea"/>
              <a:cs typeface="+mn-cs"/>
            </a:rPr>
            <a:t> By Gender</a:t>
          </a:r>
          <a:endParaRPr lang="en-IN" sz="1200" b="1" i="0" u="none" strike="noStrike">
            <a:solidFill>
              <a:schemeClr val="bg1"/>
            </a:solidFill>
            <a:latin typeface="+mn-lt"/>
            <a:ea typeface="+mn-ea"/>
            <a:cs typeface="+mn-cs"/>
          </a:endParaRPr>
        </a:p>
      </xdr:txBody>
    </xdr:sp>
    <xdr:clientData/>
  </xdr:twoCellAnchor>
  <xdr:twoCellAnchor>
    <xdr:from>
      <xdr:col>4</xdr:col>
      <xdr:colOff>506868</xdr:colOff>
      <xdr:row>1</xdr:row>
      <xdr:rowOff>109992</xdr:rowOff>
    </xdr:from>
    <xdr:to>
      <xdr:col>4</xdr:col>
      <xdr:colOff>610282</xdr:colOff>
      <xdr:row>2</xdr:row>
      <xdr:rowOff>37647</xdr:rowOff>
    </xdr:to>
    <xdr:sp macro="" textlink="">
      <xdr:nvSpPr>
        <xdr:cNvPr id="186" name="Oval 185">
          <a:extLst>
            <a:ext uri="{FF2B5EF4-FFF2-40B4-BE49-F238E27FC236}">
              <a16:creationId xmlns:a16="http://schemas.microsoft.com/office/drawing/2014/main" id="{9BB8F422-48AB-419A-B8AE-AB3A42D2311B}"/>
            </a:ext>
          </a:extLst>
        </xdr:cNvPr>
        <xdr:cNvSpPr/>
      </xdr:nvSpPr>
      <xdr:spPr>
        <a:xfrm>
          <a:off x="3092225" y="291421"/>
          <a:ext cx="103414" cy="109083"/>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dhakulkar" refreshedDate="45969.854918865742" createdVersion="8" refreshedVersion="8" minRefreshableVersion="3" recordCount="50" xr:uid="{54F29346-D607-4658-AD2C-3A55A140470A}">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ount="18">
        <n v="1"/>
        <n v="19"/>
        <n v="8"/>
        <n v="0"/>
        <n v="16"/>
        <n v="7"/>
        <n v="4"/>
        <n v="10"/>
        <n v="20"/>
        <n v="2"/>
        <n v="13"/>
        <n v="11"/>
        <n v="18"/>
        <n v="17"/>
        <n v="9"/>
        <n v="14"/>
        <n v="5"/>
        <n v="15"/>
      </sharedItems>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483890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s v="2019-03-15"/>
    <x v="0"/>
    <x v="0"/>
    <n v="53700"/>
    <s v="C"/>
    <n v="1463"/>
    <s v="Health"/>
    <x v="0"/>
    <n v="1"/>
    <s v="Leadership Training"/>
    <x v="0"/>
    <s v="Certified Professional"/>
  </r>
  <r>
    <n v="9116"/>
    <x v="1"/>
    <x v="1"/>
    <n v="27"/>
    <x v="1"/>
    <x v="1"/>
    <x v="1"/>
    <x v="1"/>
    <s v="Ashley Simmons MD"/>
    <s v="2022-12-20"/>
    <x v="0"/>
    <x v="1"/>
    <n v="91091"/>
    <s v="B"/>
    <n v="1024"/>
    <s v="None"/>
    <x v="1"/>
    <n v="4"/>
    <s v="Excel Workshop"/>
    <x v="0"/>
    <s v="Certified Professional"/>
  </r>
  <r>
    <n v="5120"/>
    <x v="2"/>
    <x v="1"/>
    <n v="34"/>
    <x v="1"/>
    <x v="2"/>
    <x v="2"/>
    <x v="2"/>
    <s v="Cassandra Duncan"/>
    <s v="2022-08-10"/>
    <x v="0"/>
    <x v="2"/>
    <n v="57538"/>
    <s v="D"/>
    <n v="1674"/>
    <s v="None"/>
    <x v="2"/>
    <n v="1"/>
    <s v="None"/>
    <x v="1"/>
    <s v="Advanced Training"/>
  </r>
  <r>
    <n v="8071"/>
    <x v="3"/>
    <x v="0"/>
    <n v="41"/>
    <x v="2"/>
    <x v="2"/>
    <x v="0"/>
    <x v="3"/>
    <s v="Janet Harris"/>
    <s v="2024-09-03"/>
    <x v="1"/>
    <x v="0"/>
    <n v="62993"/>
    <s v="A"/>
    <n v="2695"/>
    <s v="Health + Dental"/>
    <x v="3"/>
    <n v="2"/>
    <s v="None"/>
    <x v="2"/>
    <s v="None"/>
  </r>
  <r>
    <n v="9351"/>
    <x v="4"/>
    <x v="1"/>
    <n v="56"/>
    <x v="3"/>
    <x v="0"/>
    <x v="0"/>
    <x v="2"/>
    <s v="Mr. Frank Clay"/>
    <s v="2019-03-14"/>
    <x v="1"/>
    <x v="1"/>
    <n v="45773"/>
    <s v="A"/>
    <n v="8776"/>
    <s v="Health"/>
    <x v="4"/>
    <n v="4"/>
    <s v="Leadership Training"/>
    <x v="2"/>
    <s v="None"/>
  </r>
  <r>
    <n v="2873"/>
    <x v="5"/>
    <x v="0"/>
    <n v="28"/>
    <x v="1"/>
    <x v="2"/>
    <x v="3"/>
    <x v="2"/>
    <s v="Dorothy Price"/>
    <s v="2017-01-23"/>
    <x v="0"/>
    <x v="1"/>
    <n v="96249"/>
    <s v="C"/>
    <n v="4826"/>
    <s v="Health + Dental"/>
    <x v="5"/>
    <n v="3"/>
    <s v="Leadership Training"/>
    <x v="3"/>
    <s v="Certified Professional"/>
  </r>
  <r>
    <n v="3540"/>
    <x v="6"/>
    <x v="0"/>
    <n v="20"/>
    <x v="0"/>
    <x v="1"/>
    <x v="2"/>
    <x v="2"/>
    <s v="Michele Sexton"/>
    <s v="2024-08-17"/>
    <x v="0"/>
    <x v="2"/>
    <n v="61596"/>
    <s v="C"/>
    <n v="8818"/>
    <s v="Health + Dental"/>
    <x v="6"/>
    <n v="2"/>
    <s v="Leadership Training"/>
    <x v="1"/>
    <s v="None"/>
  </r>
  <r>
    <n v="3653"/>
    <x v="7"/>
    <x v="0"/>
    <n v="58"/>
    <x v="3"/>
    <x v="3"/>
    <x v="1"/>
    <x v="4"/>
    <s v="Richard Schmidt"/>
    <s v="2014-12-09"/>
    <x v="0"/>
    <x v="2"/>
    <n v="97869"/>
    <s v="A"/>
    <n v="1966"/>
    <s v="Health"/>
    <x v="7"/>
    <n v="1"/>
    <s v="Leadership Training"/>
    <x v="0"/>
    <s v="Certified Professional"/>
  </r>
  <r>
    <n v="5587"/>
    <x v="8"/>
    <x v="0"/>
    <n v="44"/>
    <x v="2"/>
    <x v="3"/>
    <x v="2"/>
    <x v="2"/>
    <s v="Teresa Pearson"/>
    <s v="2021-06-28"/>
    <x v="0"/>
    <x v="0"/>
    <n v="81235"/>
    <s v="A"/>
    <n v="6553"/>
    <s v="None"/>
    <x v="4"/>
    <n v="2"/>
    <s v="None"/>
    <x v="1"/>
    <s v="Certified Professional"/>
  </r>
  <r>
    <n v="9554"/>
    <x v="9"/>
    <x v="0"/>
    <n v="29"/>
    <x v="1"/>
    <x v="1"/>
    <x v="2"/>
    <x v="3"/>
    <s v="Laura Hart"/>
    <s v="2018-05-20"/>
    <x v="0"/>
    <x v="1"/>
    <n v="87852"/>
    <s v="A"/>
    <n v="4980"/>
    <s v="Health + Dental"/>
    <x v="1"/>
    <n v="3"/>
    <s v="None"/>
    <x v="2"/>
    <s v="Certified Professional"/>
  </r>
  <r>
    <n v="6213"/>
    <x v="10"/>
    <x v="1"/>
    <n v="23"/>
    <x v="0"/>
    <x v="3"/>
    <x v="0"/>
    <x v="2"/>
    <s v="Andrea May"/>
    <s v="2017-02-13"/>
    <x v="1"/>
    <x v="1"/>
    <n v="59359"/>
    <s v="A"/>
    <n v="9449"/>
    <s v="Health + Dental"/>
    <x v="8"/>
    <n v="3"/>
    <s v="None"/>
    <x v="1"/>
    <s v="None"/>
  </r>
  <r>
    <n v="9105"/>
    <x v="11"/>
    <x v="1"/>
    <n v="30"/>
    <x v="1"/>
    <x v="0"/>
    <x v="1"/>
    <x v="0"/>
    <s v="Casey Martin"/>
    <s v="2024-05-05"/>
    <x v="1"/>
    <x v="2"/>
    <n v="81225"/>
    <s v="D"/>
    <n v="6202"/>
    <s v="Health + Dental"/>
    <x v="9"/>
    <n v="2"/>
    <s v="Excel Workshop"/>
    <x v="4"/>
    <s v="Certified Professional"/>
  </r>
  <r>
    <n v="9508"/>
    <x v="12"/>
    <x v="0"/>
    <n v="49"/>
    <x v="4"/>
    <x v="1"/>
    <x v="0"/>
    <x v="0"/>
    <s v="Amber Allen"/>
    <s v="2022-04-19"/>
    <x v="1"/>
    <x v="0"/>
    <n v="32788"/>
    <s v="D"/>
    <n v="4396"/>
    <s v="Health"/>
    <x v="10"/>
    <n v="5"/>
    <s v="None"/>
    <x v="3"/>
    <s v="Advanced Training"/>
  </r>
  <r>
    <n v="2436"/>
    <x v="13"/>
    <x v="1"/>
    <n v="60"/>
    <x v="3"/>
    <x v="4"/>
    <x v="0"/>
    <x v="3"/>
    <s v="Adam Johnson"/>
    <s v="2015-11-16"/>
    <x v="1"/>
    <x v="2"/>
    <n v="70452"/>
    <s v="D"/>
    <n v="9911"/>
    <s v="None"/>
    <x v="9"/>
    <n v="1"/>
    <s v="None"/>
    <x v="3"/>
    <s v="Certified Professional"/>
  </r>
  <r>
    <n v="4441"/>
    <x v="14"/>
    <x v="1"/>
    <n v="46"/>
    <x v="4"/>
    <x v="1"/>
    <x v="3"/>
    <x v="0"/>
    <s v="Nicole Dominguez"/>
    <s v="2023-09-09"/>
    <x v="0"/>
    <x v="1"/>
    <n v="33045"/>
    <s v="B"/>
    <n v="1456"/>
    <s v="None"/>
    <x v="4"/>
    <n v="3"/>
    <s v="Excel Workshop"/>
    <x v="3"/>
    <s v="None"/>
  </r>
  <r>
    <n v="5827"/>
    <x v="15"/>
    <x v="1"/>
    <n v="57"/>
    <x v="3"/>
    <x v="2"/>
    <x v="3"/>
    <x v="1"/>
    <s v="Andrew Best"/>
    <s v="2017-12-12"/>
    <x v="2"/>
    <x v="2"/>
    <n v="96429"/>
    <s v="C"/>
    <n v="4740"/>
    <s v="None"/>
    <x v="2"/>
    <n v="1"/>
    <s v="Excel Workshop"/>
    <x v="2"/>
    <s v="None"/>
  </r>
  <r>
    <n v="5184"/>
    <x v="16"/>
    <x v="0"/>
    <n v="24"/>
    <x v="0"/>
    <x v="1"/>
    <x v="2"/>
    <x v="2"/>
    <s v="Gabrielle Rodriguez"/>
    <s v="2017-03-10"/>
    <x v="2"/>
    <x v="2"/>
    <n v="33183"/>
    <s v="A"/>
    <n v="8114"/>
    <s v="None"/>
    <x v="6"/>
    <n v="2"/>
    <s v="Excel Workshop"/>
    <x v="4"/>
    <s v="Advanced Training"/>
  </r>
  <r>
    <n v="5874"/>
    <x v="3"/>
    <x v="0"/>
    <n v="35"/>
    <x v="1"/>
    <x v="4"/>
    <x v="3"/>
    <x v="0"/>
    <s v="Allison Harvey"/>
    <s v="2019-03-04"/>
    <x v="2"/>
    <x v="0"/>
    <n v="75065"/>
    <s v="C"/>
    <n v="7123"/>
    <s v="None"/>
    <x v="8"/>
    <n v="2"/>
    <s v="None"/>
    <x v="0"/>
    <s v="Advanced Training"/>
  </r>
  <r>
    <n v="9834"/>
    <x v="17"/>
    <x v="1"/>
    <n v="41"/>
    <x v="2"/>
    <x v="1"/>
    <x v="1"/>
    <x v="4"/>
    <s v="Tristan Mejia"/>
    <s v="2022-11-20"/>
    <x v="0"/>
    <x v="2"/>
    <n v="32877"/>
    <s v="C"/>
    <n v="6432"/>
    <s v="Health"/>
    <x v="11"/>
    <n v="1"/>
    <s v="None"/>
    <x v="0"/>
    <s v="None"/>
  </r>
  <r>
    <n v="5096"/>
    <x v="18"/>
    <x v="1"/>
    <n v="36"/>
    <x v="2"/>
    <x v="1"/>
    <x v="4"/>
    <x v="3"/>
    <s v="Mary Welch"/>
    <s v="2021-03-02"/>
    <x v="0"/>
    <x v="1"/>
    <n v="46811"/>
    <s v="D"/>
    <n v="1567"/>
    <s v="None"/>
    <x v="5"/>
    <n v="3"/>
    <s v="Excel Workshop"/>
    <x v="0"/>
    <s v="Advanced Training"/>
  </r>
  <r>
    <n v="2263"/>
    <x v="19"/>
    <x v="1"/>
    <n v="31"/>
    <x v="1"/>
    <x v="3"/>
    <x v="2"/>
    <x v="1"/>
    <s v="Douglas Miles"/>
    <s v="2021-08-01"/>
    <x v="1"/>
    <x v="1"/>
    <n v="87538"/>
    <s v="C"/>
    <n v="3588"/>
    <s v="Health + Dental"/>
    <x v="11"/>
    <n v="5"/>
    <s v="Excel Workshop"/>
    <x v="2"/>
    <s v="None"/>
  </r>
  <r>
    <n v="6505"/>
    <x v="20"/>
    <x v="0"/>
    <n v="28"/>
    <x v="1"/>
    <x v="0"/>
    <x v="1"/>
    <x v="4"/>
    <s v="Jessica Fleming"/>
    <s v="2015-08-14"/>
    <x v="0"/>
    <x v="1"/>
    <n v="73002"/>
    <s v="C"/>
    <n v="6296"/>
    <s v="Health"/>
    <x v="9"/>
    <n v="5"/>
    <s v="Excel Workshop"/>
    <x v="1"/>
    <s v="Certified Professional"/>
  </r>
  <r>
    <n v="8626"/>
    <x v="21"/>
    <x v="1"/>
    <n v="37"/>
    <x v="2"/>
    <x v="3"/>
    <x v="1"/>
    <x v="3"/>
    <s v="Christine Lee"/>
    <s v="2015-10-21"/>
    <x v="2"/>
    <x v="2"/>
    <n v="41653"/>
    <s v="D"/>
    <n v="9236"/>
    <s v="None"/>
    <x v="10"/>
    <n v="1"/>
    <s v="Excel Workshop"/>
    <x v="0"/>
    <s v="None"/>
  </r>
  <r>
    <n v="5979"/>
    <x v="22"/>
    <x v="0"/>
    <n v="31"/>
    <x v="1"/>
    <x v="0"/>
    <x v="0"/>
    <x v="2"/>
    <s v="Mario Smith DVM"/>
    <s v="2015-03-14"/>
    <x v="1"/>
    <x v="1"/>
    <n v="67582"/>
    <s v="A"/>
    <n v="1375"/>
    <s v="Health"/>
    <x v="8"/>
    <n v="3"/>
    <s v="Excel Workshop"/>
    <x v="1"/>
    <s v="None"/>
  </r>
  <r>
    <n v="3104"/>
    <x v="23"/>
    <x v="0"/>
    <n v="23"/>
    <x v="0"/>
    <x v="3"/>
    <x v="1"/>
    <x v="1"/>
    <s v="Joseph Francis"/>
    <s v="2024-05-22"/>
    <x v="2"/>
    <x v="1"/>
    <n v="37351"/>
    <s v="D"/>
    <n v="7858"/>
    <s v="Health + Dental"/>
    <x v="12"/>
    <n v="2"/>
    <s v="Leadership Training"/>
    <x v="1"/>
    <s v="Advanced Training"/>
  </r>
  <r>
    <n v="8967"/>
    <x v="24"/>
    <x v="0"/>
    <n v="48"/>
    <x v="4"/>
    <x v="4"/>
    <x v="2"/>
    <x v="0"/>
    <s v="Sarah Young"/>
    <s v="2017-03-19"/>
    <x v="0"/>
    <x v="1"/>
    <n v="36721"/>
    <s v="B"/>
    <n v="8820"/>
    <s v="Health + Dental"/>
    <x v="3"/>
    <n v="2"/>
    <s v="Excel Workshop"/>
    <x v="1"/>
    <s v="Certified Professional"/>
  </r>
  <r>
    <n v="5087"/>
    <x v="25"/>
    <x v="1"/>
    <n v="28"/>
    <x v="1"/>
    <x v="2"/>
    <x v="4"/>
    <x v="0"/>
    <s v="Aaron Hart"/>
    <s v="2021-09-15"/>
    <x v="1"/>
    <x v="2"/>
    <n v="46326"/>
    <s v="B"/>
    <n v="9189"/>
    <s v="Health + Dental"/>
    <x v="2"/>
    <n v="4"/>
    <s v="Leadership Training"/>
    <x v="3"/>
    <s v="Advanced Training"/>
  </r>
  <r>
    <n v="3358"/>
    <x v="26"/>
    <x v="1"/>
    <n v="30"/>
    <x v="1"/>
    <x v="1"/>
    <x v="3"/>
    <x v="1"/>
    <s v="Brian Boyd"/>
    <s v="2022-05-09"/>
    <x v="0"/>
    <x v="0"/>
    <n v="59007"/>
    <s v="C"/>
    <n v="3380"/>
    <s v="Health"/>
    <x v="13"/>
    <n v="3"/>
    <s v="None"/>
    <x v="4"/>
    <s v="Certified Professional"/>
  </r>
  <r>
    <n v="8256"/>
    <x v="27"/>
    <x v="1"/>
    <n v="46"/>
    <x v="4"/>
    <x v="3"/>
    <x v="0"/>
    <x v="3"/>
    <s v="Steven Krueger"/>
    <s v="2017-06-22"/>
    <x v="0"/>
    <x v="1"/>
    <n v="52020"/>
    <s v="B"/>
    <n v="9585"/>
    <s v="Health + Dental"/>
    <x v="3"/>
    <n v="4"/>
    <s v="Excel Workshop"/>
    <x v="4"/>
    <s v="None"/>
  </r>
  <r>
    <n v="5763"/>
    <x v="28"/>
    <x v="1"/>
    <n v="44"/>
    <x v="2"/>
    <x v="1"/>
    <x v="2"/>
    <x v="1"/>
    <s v="Debra Williams"/>
    <s v="2020-11-28"/>
    <x v="2"/>
    <x v="1"/>
    <n v="98961"/>
    <s v="D"/>
    <n v="2688"/>
    <s v="Health"/>
    <x v="9"/>
    <n v="5"/>
    <s v="Excel Workshop"/>
    <x v="4"/>
    <s v="Certified Professional"/>
  </r>
  <r>
    <n v="6838"/>
    <x v="29"/>
    <x v="1"/>
    <n v="45"/>
    <x v="2"/>
    <x v="2"/>
    <x v="3"/>
    <x v="2"/>
    <s v="Karen Mitchell"/>
    <s v="2015-08-30"/>
    <x v="2"/>
    <x v="1"/>
    <n v="81943"/>
    <s v="C"/>
    <n v="2255"/>
    <s v="Health"/>
    <x v="12"/>
    <n v="2"/>
    <s v="None"/>
    <x v="2"/>
    <s v="Certified Professional"/>
  </r>
  <r>
    <n v="9544"/>
    <x v="30"/>
    <x v="1"/>
    <n v="52"/>
    <x v="4"/>
    <x v="4"/>
    <x v="2"/>
    <x v="1"/>
    <s v="Joseph Sanders"/>
    <s v="2018-10-27"/>
    <x v="2"/>
    <x v="1"/>
    <n v="47627"/>
    <s v="C"/>
    <n v="1221"/>
    <s v="None"/>
    <x v="6"/>
    <n v="3"/>
    <s v="None"/>
    <x v="1"/>
    <s v="None"/>
  </r>
  <r>
    <n v="8012"/>
    <x v="31"/>
    <x v="0"/>
    <n v="52"/>
    <x v="4"/>
    <x v="0"/>
    <x v="0"/>
    <x v="4"/>
    <s v="Shelly George"/>
    <s v="2018-08-26"/>
    <x v="2"/>
    <x v="1"/>
    <n v="56162"/>
    <s v="D"/>
    <n v="6560"/>
    <s v="Health + Dental"/>
    <x v="14"/>
    <n v="4"/>
    <s v="Excel Workshop"/>
    <x v="3"/>
    <s v="None"/>
  </r>
  <r>
    <n v="9374"/>
    <x v="32"/>
    <x v="0"/>
    <n v="42"/>
    <x v="2"/>
    <x v="1"/>
    <x v="2"/>
    <x v="2"/>
    <s v="Nicole Houston"/>
    <s v="2023-07-24"/>
    <x v="1"/>
    <x v="2"/>
    <n v="95734"/>
    <s v="C"/>
    <n v="4854"/>
    <s v="Health"/>
    <x v="10"/>
    <n v="2"/>
    <s v="Leadership Training"/>
    <x v="0"/>
    <s v="Certified Professional"/>
  </r>
  <r>
    <n v="3487"/>
    <x v="33"/>
    <x v="1"/>
    <n v="58"/>
    <x v="3"/>
    <x v="1"/>
    <x v="1"/>
    <x v="3"/>
    <s v="Kristin Shaffer"/>
    <s v="2018-07-09"/>
    <x v="1"/>
    <x v="2"/>
    <n v="74789"/>
    <s v="C"/>
    <n v="8101"/>
    <s v="Health + Dental"/>
    <x v="15"/>
    <n v="5"/>
    <s v="Excel Workshop"/>
    <x v="2"/>
    <s v="None"/>
  </r>
  <r>
    <n v="8445"/>
    <x v="34"/>
    <x v="0"/>
    <n v="24"/>
    <x v="0"/>
    <x v="4"/>
    <x v="0"/>
    <x v="3"/>
    <s v="Joel Aguilar"/>
    <s v="2016-12-21"/>
    <x v="0"/>
    <x v="2"/>
    <n v="30137"/>
    <s v="B"/>
    <n v="4031"/>
    <s v="None"/>
    <x v="16"/>
    <n v="3"/>
    <s v="None"/>
    <x v="1"/>
    <s v="Certified Professional"/>
  </r>
  <r>
    <n v="1550"/>
    <x v="35"/>
    <x v="1"/>
    <n v="21"/>
    <x v="0"/>
    <x v="1"/>
    <x v="0"/>
    <x v="0"/>
    <s v="Michael Wade"/>
    <s v="2019-06-27"/>
    <x v="0"/>
    <x v="2"/>
    <n v="95510"/>
    <s v="C"/>
    <n v="6811"/>
    <s v="Health"/>
    <x v="12"/>
    <n v="4"/>
    <s v="Excel Workshop"/>
    <x v="4"/>
    <s v="Certified Professional"/>
  </r>
  <r>
    <n v="9968"/>
    <x v="36"/>
    <x v="1"/>
    <n v="58"/>
    <x v="3"/>
    <x v="1"/>
    <x v="3"/>
    <x v="0"/>
    <s v="Jessica Walsh"/>
    <s v="2021-08-27"/>
    <x v="1"/>
    <x v="0"/>
    <n v="80325"/>
    <s v="B"/>
    <n v="6230"/>
    <s v="Health"/>
    <x v="16"/>
    <n v="4"/>
    <s v="None"/>
    <x v="2"/>
    <s v="Advanced Training"/>
  </r>
  <r>
    <n v="8029"/>
    <x v="37"/>
    <x v="0"/>
    <n v="57"/>
    <x v="3"/>
    <x v="3"/>
    <x v="4"/>
    <x v="4"/>
    <s v="Kelly Mack"/>
    <s v="2017-05-28"/>
    <x v="2"/>
    <x v="1"/>
    <n v="34109"/>
    <s v="B"/>
    <n v="9232"/>
    <s v="Health"/>
    <x v="10"/>
    <n v="3"/>
    <s v="Leadership Training"/>
    <x v="0"/>
    <s v="Certified Professional"/>
  </r>
  <r>
    <n v="8847"/>
    <x v="38"/>
    <x v="1"/>
    <n v="41"/>
    <x v="2"/>
    <x v="3"/>
    <x v="3"/>
    <x v="0"/>
    <s v="John Conley"/>
    <s v="2022-01-30"/>
    <x v="2"/>
    <x v="2"/>
    <n v="73330"/>
    <s v="C"/>
    <n v="2276"/>
    <s v="Health + Dental"/>
    <x v="16"/>
    <n v="1"/>
    <s v="None"/>
    <x v="1"/>
    <s v="Advanced Training"/>
  </r>
  <r>
    <n v="1955"/>
    <x v="39"/>
    <x v="0"/>
    <n v="58"/>
    <x v="3"/>
    <x v="2"/>
    <x v="2"/>
    <x v="1"/>
    <s v="Aaron Baker"/>
    <s v="2017-04-20"/>
    <x v="1"/>
    <x v="2"/>
    <n v="46567"/>
    <s v="A"/>
    <n v="2825"/>
    <s v="Health"/>
    <x v="17"/>
    <n v="3"/>
    <s v="None"/>
    <x v="4"/>
    <s v="Advanced Training"/>
  </r>
  <r>
    <n v="4522"/>
    <x v="40"/>
    <x v="0"/>
    <n v="36"/>
    <x v="2"/>
    <x v="0"/>
    <x v="4"/>
    <x v="0"/>
    <s v="Christopher Bass"/>
    <s v="2019-07-22"/>
    <x v="1"/>
    <x v="1"/>
    <n v="39795"/>
    <s v="A"/>
    <n v="1670"/>
    <s v="None"/>
    <x v="3"/>
    <n v="2"/>
    <s v="Excel Workshop"/>
    <x v="3"/>
    <s v="None"/>
  </r>
  <r>
    <n v="3078"/>
    <x v="41"/>
    <x v="0"/>
    <n v="21"/>
    <x v="0"/>
    <x v="0"/>
    <x v="0"/>
    <x v="4"/>
    <s v="Sean Tucker PhD"/>
    <s v="2018-11-29"/>
    <x v="1"/>
    <x v="2"/>
    <n v="59506"/>
    <s v="A"/>
    <n v="4428"/>
    <s v="Health + Dental"/>
    <x v="3"/>
    <n v="1"/>
    <s v="None"/>
    <x v="3"/>
    <s v="Certified Professional"/>
  </r>
  <r>
    <n v="6357"/>
    <x v="42"/>
    <x v="0"/>
    <n v="46"/>
    <x v="4"/>
    <x v="2"/>
    <x v="1"/>
    <x v="4"/>
    <s v="Jacob Scott"/>
    <s v="2022-11-14"/>
    <x v="1"/>
    <x v="2"/>
    <n v="49058"/>
    <s v="B"/>
    <n v="4396"/>
    <s v="None"/>
    <x v="16"/>
    <n v="1"/>
    <s v="None"/>
    <x v="3"/>
    <s v="None"/>
  </r>
  <r>
    <n v="7951"/>
    <x v="43"/>
    <x v="0"/>
    <n v="36"/>
    <x v="2"/>
    <x v="3"/>
    <x v="2"/>
    <x v="4"/>
    <s v="Joel Park"/>
    <s v="2016-02-23"/>
    <x v="1"/>
    <x v="0"/>
    <n v="98612"/>
    <s v="A"/>
    <n v="1168"/>
    <s v="None"/>
    <x v="14"/>
    <n v="2"/>
    <s v="Excel Workshop"/>
    <x v="0"/>
    <s v="Certified Professional"/>
  </r>
  <r>
    <n v="9228"/>
    <x v="44"/>
    <x v="1"/>
    <n v="41"/>
    <x v="2"/>
    <x v="4"/>
    <x v="3"/>
    <x v="1"/>
    <s v="Russell Marshall"/>
    <s v="2018-05-18"/>
    <x v="2"/>
    <x v="1"/>
    <n v="38201"/>
    <s v="A"/>
    <n v="7111"/>
    <s v="Health"/>
    <x v="2"/>
    <n v="4"/>
    <s v="Leadership Training"/>
    <x v="3"/>
    <s v="None"/>
  </r>
  <r>
    <n v="8988"/>
    <x v="45"/>
    <x v="1"/>
    <n v="25"/>
    <x v="0"/>
    <x v="0"/>
    <x v="2"/>
    <x v="2"/>
    <s v="James Holden"/>
    <s v="2024-03-09"/>
    <x v="2"/>
    <x v="1"/>
    <n v="92919"/>
    <s v="D"/>
    <n v="9497"/>
    <s v="Health"/>
    <x v="5"/>
    <n v="2"/>
    <s v="None"/>
    <x v="3"/>
    <s v="Advanced Training"/>
  </r>
  <r>
    <n v="1952"/>
    <x v="46"/>
    <x v="0"/>
    <n v="29"/>
    <x v="1"/>
    <x v="4"/>
    <x v="0"/>
    <x v="1"/>
    <s v="Thomas Murphy"/>
    <s v="2024-03-27"/>
    <x v="0"/>
    <x v="2"/>
    <n v="45188"/>
    <s v="A"/>
    <n v="9591"/>
    <s v="Health + Dental"/>
    <x v="12"/>
    <n v="3"/>
    <s v="Leadership Training"/>
    <x v="3"/>
    <s v="None"/>
  </r>
  <r>
    <n v="5760"/>
    <x v="47"/>
    <x v="0"/>
    <n v="59"/>
    <x v="3"/>
    <x v="2"/>
    <x v="1"/>
    <x v="0"/>
    <s v="Mark Abbott"/>
    <s v="2019-12-23"/>
    <x v="0"/>
    <x v="1"/>
    <n v="34927"/>
    <s v="D"/>
    <n v="6996"/>
    <s v="Health + Dental"/>
    <x v="4"/>
    <n v="1"/>
    <s v="Excel Workshop"/>
    <x v="0"/>
    <s v="Certified Professional"/>
  </r>
  <r>
    <n v="5742"/>
    <x v="48"/>
    <x v="0"/>
    <n v="27"/>
    <x v="1"/>
    <x v="0"/>
    <x v="2"/>
    <x v="3"/>
    <s v="Robin Lynch"/>
    <s v="2016-08-25"/>
    <x v="0"/>
    <x v="1"/>
    <n v="33183"/>
    <s v="A"/>
    <n v="1659"/>
    <s v="None"/>
    <x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BD689E-9BD5-4BA6-96E4-9374671F2A71}" name="PivotTable1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V3:W9" firstHeaderRow="1" firstDataRow="1" firstDataCol="1"/>
  <pivotFields count="21">
    <pivotField showAll="0"/>
    <pivotField showAll="0"/>
    <pivotField showAll="0">
      <items count="3">
        <item x="0"/>
        <item x="1"/>
        <item t="default"/>
      </items>
    </pivotField>
    <pivotField showAll="0"/>
    <pivotField showAll="0"/>
    <pivotField showAll="0">
      <items count="6">
        <item x="1"/>
        <item x="0"/>
        <item x="4"/>
        <item x="3"/>
        <item x="2"/>
        <item t="default"/>
      </items>
    </pivotField>
    <pivotField showAll="0">
      <items count="6">
        <item x="4"/>
        <item x="1"/>
        <item x="3"/>
        <item x="2"/>
        <item x="0"/>
        <item t="default"/>
      </items>
    </pivotField>
    <pivotField axis="axisRow"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items count="6">
        <item x="3"/>
        <item x="0"/>
        <item x="4"/>
        <item x="1"/>
        <item x="2"/>
        <item t="default"/>
      </items>
    </pivotField>
    <pivotField showAll="0"/>
  </pivotFields>
  <rowFields count="1">
    <field x="7"/>
  </rowFields>
  <rowItems count="6">
    <i>
      <x/>
    </i>
    <i>
      <x v="1"/>
    </i>
    <i>
      <x v="2"/>
    </i>
    <i>
      <x v="3"/>
    </i>
    <i>
      <x v="4"/>
    </i>
    <i t="grand">
      <x/>
    </i>
  </rowItems>
  <colItems count="1">
    <i/>
  </colItems>
  <dataFields count="1">
    <dataField name="Average of Performance Rating" fld="17" subtotal="average" baseField="7" baseItem="3"/>
  </dataFields>
  <formats count="14">
    <format dxfId="824">
      <pivotArea type="all" dataOnly="0" outline="0" fieldPosition="0"/>
    </format>
    <format dxfId="825">
      <pivotArea outline="0" collapsedLevelsAreSubtotals="1" fieldPosition="0"/>
    </format>
    <format dxfId="826">
      <pivotArea field="19" type="button" dataOnly="0" labelOnly="1" outline="0"/>
    </format>
    <format dxfId="827">
      <pivotArea dataOnly="0" labelOnly="1" grandRow="1" outline="0" fieldPosition="0"/>
    </format>
    <format dxfId="828">
      <pivotArea dataOnly="0" labelOnly="1" outline="0" axis="axisValues" fieldPosition="0"/>
    </format>
    <format dxfId="829">
      <pivotArea type="all" dataOnly="0" outline="0" fieldPosition="0"/>
    </format>
    <format dxfId="830">
      <pivotArea field="5" type="button" dataOnly="0" labelOnly="1" outline="0"/>
    </format>
    <format dxfId="831">
      <pivotArea collapsedLevelsAreSubtotals="1" fieldPosition="0">
        <references count="1">
          <reference field="7" count="0"/>
        </references>
      </pivotArea>
    </format>
    <format dxfId="832">
      <pivotArea type="all" dataOnly="0" outline="0" fieldPosition="0"/>
    </format>
    <format dxfId="833">
      <pivotArea outline="0" collapsedLevelsAreSubtotals="1" fieldPosition="0"/>
    </format>
    <format dxfId="834">
      <pivotArea field="7" type="button" dataOnly="0" labelOnly="1" outline="0" axis="axisRow" fieldPosition="0"/>
    </format>
    <format dxfId="835">
      <pivotArea dataOnly="0" labelOnly="1" fieldPosition="0">
        <references count="1">
          <reference field="7" count="0"/>
        </references>
      </pivotArea>
    </format>
    <format dxfId="836">
      <pivotArea dataOnly="0" labelOnly="1" grandRow="1" outline="0" fieldPosition="0"/>
    </format>
    <format dxfId="8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D6D8E8-E5D1-4F7A-88B2-9F673A3A0647}"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S3:T9"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5"/>
  </rowFields>
  <rowItems count="6">
    <i>
      <x/>
    </i>
    <i>
      <x v="1"/>
    </i>
    <i>
      <x v="2"/>
    </i>
    <i>
      <x v="3"/>
    </i>
    <i>
      <x v="4"/>
    </i>
    <i t="grand">
      <x/>
    </i>
  </rowItems>
  <colItems count="1">
    <i/>
  </colItems>
  <dataFields count="1">
    <dataField name="Count of Full Name" fld="1" subtotal="count" baseField="0" baseItem="0"/>
  </dataFields>
  <formats count="11">
    <format dxfId="838">
      <pivotArea type="all" dataOnly="0" outline="0" fieldPosition="0"/>
    </format>
    <format dxfId="839">
      <pivotArea outline="0" collapsedLevelsAreSubtotals="1" fieldPosition="0"/>
    </format>
    <format dxfId="840">
      <pivotArea field="19" type="button" dataOnly="0" labelOnly="1" outline="0"/>
    </format>
    <format dxfId="841">
      <pivotArea dataOnly="0" labelOnly="1" grandRow="1" outline="0" fieldPosition="0"/>
    </format>
    <format dxfId="842">
      <pivotArea dataOnly="0" labelOnly="1" outline="0" axis="axisValues" fieldPosition="0"/>
    </format>
    <format dxfId="843">
      <pivotArea type="all" dataOnly="0" outline="0" fieldPosition="0"/>
    </format>
    <format dxfId="844">
      <pivotArea outline="0" collapsedLevelsAreSubtotals="1" fieldPosition="0"/>
    </format>
    <format dxfId="845">
      <pivotArea field="5" type="button" dataOnly="0" labelOnly="1" outline="0" axis="axisRow" fieldPosition="0"/>
    </format>
    <format dxfId="846">
      <pivotArea dataOnly="0" labelOnly="1" fieldPosition="0">
        <references count="1">
          <reference field="5" count="0"/>
        </references>
      </pivotArea>
    </format>
    <format dxfId="847">
      <pivotArea dataOnly="0" labelOnly="1" grandRow="1" outline="0" fieldPosition="0"/>
    </format>
    <format dxfId="848">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2C3DD6-7C84-466B-B918-1A840A34CD44}"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9" firstHeaderRow="1" firstDataRow="1" firstDataCol="1"/>
  <pivotFields count="21">
    <pivotField showAll="0"/>
    <pivotField dataField="1" showAll="0"/>
    <pivotField showAll="0">
      <items count="3">
        <item x="0"/>
        <item x="1"/>
        <item t="default"/>
      </items>
    </pivotField>
    <pivotField showAll="0"/>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6">
    <format dxfId="798">
      <pivotArea type="all" dataOnly="0" outline="0" fieldPosition="0"/>
    </format>
    <format dxfId="799">
      <pivotArea outline="0" collapsedLevelsAreSubtotals="1" fieldPosition="0"/>
    </format>
    <format dxfId="800">
      <pivotArea field="19" type="button" dataOnly="0" labelOnly="1" outline="0" axis="axisRow" fieldPosition="0"/>
    </format>
    <format dxfId="801">
      <pivotArea dataOnly="0" labelOnly="1" fieldPosition="0">
        <references count="1">
          <reference field="19" count="0"/>
        </references>
      </pivotArea>
    </format>
    <format dxfId="802">
      <pivotArea dataOnly="0" labelOnly="1" grandRow="1" outline="0" fieldPosition="0"/>
    </format>
    <format dxfId="80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A1B9AB-A2E7-4636-8213-DC05581E9C4B}"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7" firstHeaderRow="1" firstDataRow="1" firstDataCol="1"/>
  <pivotFields count="21">
    <pivotField showAll="0"/>
    <pivotField dataField="1" showAll="0"/>
    <pivotField showAll="0">
      <items count="3">
        <item x="0"/>
        <item x="1"/>
        <item t="default"/>
      </items>
    </pivotField>
    <pivotField showAll="0"/>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6">
    <format dxfId="16">
      <pivotArea type="all" dataOnly="0" outline="0" fieldPosition="0"/>
    </format>
    <format dxfId="5">
      <pivotArea outline="0" collapsedLevelsAreSubtotals="1" fieldPosition="0"/>
    </format>
    <format dxfId="4">
      <pivotArea field="11" type="button" dataOnly="0" labelOnly="1" outline="0" axis="axisRow" fieldPosition="0"/>
    </format>
    <format dxfId="3">
      <pivotArea dataOnly="0" labelOnly="1" fieldPosition="0">
        <references count="1">
          <reference field="11" count="0"/>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7DAE43-062B-4E52-993D-2B89E4B25E03}"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K10"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25">
    <format dxfId="804">
      <pivotArea type="all" dataOnly="0" outline="0" fieldPosition="0"/>
    </format>
    <format dxfId="805">
      <pivotArea outline="0" collapsedLevelsAreSubtotals="1" fieldPosition="0"/>
    </format>
    <format dxfId="806">
      <pivotArea field="10" type="button" dataOnly="0" labelOnly="1" outline="0"/>
    </format>
    <format dxfId="807">
      <pivotArea dataOnly="0" labelOnly="1" grandRow="1" outline="0" fieldPosition="0"/>
    </format>
    <format dxfId="808">
      <pivotArea dataOnly="0" labelOnly="1" outline="0" axis="axisValues" fieldPosition="0"/>
    </format>
    <format dxfId="809">
      <pivotArea type="all" dataOnly="0" outline="0" fieldPosition="0"/>
    </format>
    <format dxfId="810">
      <pivotArea outline="0" collapsedLevelsAreSubtotals="1" fieldPosition="0"/>
    </format>
    <format dxfId="811">
      <pivotArea type="origin" dataOnly="0" labelOnly="1" outline="0" fieldPosition="0"/>
    </format>
    <format dxfId="812">
      <pivotArea field="2" type="button" dataOnly="0" labelOnly="1" outline="0" axis="axisCol" fieldPosition="0"/>
    </format>
    <format dxfId="813">
      <pivotArea type="topRight" dataOnly="0" labelOnly="1" outline="0" fieldPosition="0"/>
    </format>
    <format dxfId="814">
      <pivotArea field="4" type="button" dataOnly="0" labelOnly="1" outline="0" axis="axisRow" fieldPosition="0"/>
    </format>
    <format dxfId="815">
      <pivotArea dataOnly="0" labelOnly="1" fieldPosition="0">
        <references count="1">
          <reference field="4" count="0"/>
        </references>
      </pivotArea>
    </format>
    <format dxfId="816">
      <pivotArea dataOnly="0" labelOnly="1" grandRow="1" outline="0" fieldPosition="0"/>
    </format>
    <format dxfId="817">
      <pivotArea dataOnly="0" labelOnly="1" fieldPosition="0">
        <references count="1">
          <reference field="2" count="0"/>
        </references>
      </pivotArea>
    </format>
    <format dxfId="818">
      <pivotArea dataOnly="0" labelOnly="1" grandCol="1" outline="0" fieldPosition="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2" type="button" dataOnly="0" labelOnly="1" outline="0" axis="axisCol" fieldPosition="0"/>
    </format>
    <format dxfId="22">
      <pivotArea type="topRight" dataOnly="0" labelOnly="1" outline="0" fieldPosition="0"/>
    </format>
    <format dxfId="21">
      <pivotArea field="4" type="button" dataOnly="0" labelOnly="1" outline="0" axis="axisRow" fieldPosition="0"/>
    </format>
    <format dxfId="20">
      <pivotArea dataOnly="0" labelOnly="1" fieldPosition="0">
        <references count="1">
          <reference field="4" count="0"/>
        </references>
      </pivotArea>
    </format>
    <format dxfId="19">
      <pivotArea dataOnly="0" labelOnly="1" grandRow="1" outline="0" fieldPosition="0"/>
    </format>
    <format dxfId="18">
      <pivotArea dataOnly="0" labelOnly="1" fieldPosition="0">
        <references count="1">
          <reference field="2" count="0"/>
        </references>
      </pivotArea>
    </format>
    <format dxfId="17">
      <pivotArea dataOnly="0" labelOnly="1" grandCol="1" outline="0" fieldPosition="0"/>
    </format>
  </formats>
  <chartFormats count="2">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E57922-F37F-46DE-8BA5-6812485F7910}"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9"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pivotField dataField="1" showAll="0"/>
    <pivotField showAll="0"/>
    <pivotField showAll="0"/>
    <pivotField showAll="0"/>
    <pivotField dataField="1" showAll="0">
      <items count="19">
        <item x="3"/>
        <item x="0"/>
        <item x="9"/>
        <item x="6"/>
        <item x="16"/>
        <item x="5"/>
        <item x="2"/>
        <item x="14"/>
        <item x="7"/>
        <item x="11"/>
        <item x="10"/>
        <item x="15"/>
        <item x="17"/>
        <item x="4"/>
        <item x="13"/>
        <item x="12"/>
        <item x="1"/>
        <item x="8"/>
        <item t="default"/>
      </items>
    </pivotField>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11">
    <format dxfId="819">
      <pivotArea type="all" dataOnly="0" outline="0" fieldPosition="0"/>
    </format>
    <format dxfId="820">
      <pivotArea outline="0" collapsedLevelsAreSubtotals="1" fieldPosition="0"/>
    </format>
    <format dxfId="821">
      <pivotArea field="10" type="button" dataOnly="0" labelOnly="1" outline="0"/>
    </format>
    <format dxfId="822">
      <pivotArea dataOnly="0" labelOnly="1" grandRow="1" outline="0" fieldPosition="0"/>
    </format>
    <format dxfId="823">
      <pivotArea dataOnly="0" labelOnly="1" outline="0" axis="axisValues" fieldPosition="0"/>
    </format>
    <format dxfId="38">
      <pivotArea type="all" dataOnly="0" outline="0" fieldPosition="0"/>
    </format>
    <format dxfId="31">
      <pivotArea outline="0" collapsedLevelsAreSubtotals="1" fieldPosition="0"/>
    </format>
    <format dxfId="30">
      <pivotArea field="6" type="button" dataOnly="0" labelOnly="1" outline="0" axis="axisRow" fieldPosition="0"/>
    </format>
    <format dxfId="29">
      <pivotArea dataOnly="0" labelOnly="1" fieldPosition="0">
        <references count="1">
          <reference field="6"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A7C90A-143F-41DD-8345-BDF706B61B28}"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formats count="12">
    <format dxfId="849">
      <pivotArea type="all" dataOnly="0" outline="0" fieldPosition="0"/>
    </format>
    <format dxfId="850">
      <pivotArea outline="0" collapsedLevelsAreSubtotals="1" fieldPosition="0"/>
    </format>
    <format dxfId="851">
      <pivotArea field="10" type="button" dataOnly="0" labelOnly="1" outline="0" axis="axisRow" fieldPosition="0"/>
    </format>
    <format dxfId="852">
      <pivotArea dataOnly="0" labelOnly="1" fieldPosition="0">
        <references count="1">
          <reference field="10" count="0"/>
        </references>
      </pivotArea>
    </format>
    <format dxfId="853">
      <pivotArea dataOnly="0" labelOnly="1" grandRow="1" outline="0" fieldPosition="0"/>
    </format>
    <format dxfId="854">
      <pivotArea dataOnly="0" labelOnly="1" outline="0" axis="axisValues" fieldPosition="0"/>
    </format>
    <format dxfId="47">
      <pivotArea type="all" dataOnly="0" outline="0" fieldPosition="0"/>
    </format>
    <format dxfId="44">
      <pivotArea outline="0" collapsedLevelsAreSubtotals="1" fieldPosition="0"/>
    </format>
    <format dxfId="43">
      <pivotArea field="10" type="button" dataOnly="0" labelOnly="1" outline="0" axis="axisRow" fieldPosition="0"/>
    </format>
    <format dxfId="42">
      <pivotArea dataOnly="0" labelOnly="1" fieldPosition="0">
        <references count="1">
          <reference field="10" count="0"/>
        </references>
      </pivotArea>
    </format>
    <format dxfId="41">
      <pivotArea dataOnly="0" labelOnly="1" grandRow="1" outline="0"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521FD22-140D-457E-92E5-56B57B77A7D0}" sourceName="Gender">
  <pivotTables>
    <pivotTable tabId="4" name="PivotTable1"/>
    <pivotTable tabId="4" name="PivotTable11"/>
    <pivotTable tabId="4" name="PivotTable12"/>
    <pivotTable tabId="4" name="PivotTable2"/>
    <pivotTable tabId="4" name="PivotTable3"/>
    <pivotTable tabId="4" name="PivotTable5"/>
    <pivotTable tabId="4" name="PivotTable7"/>
  </pivotTables>
  <data>
    <tabular pivotCacheId="14838905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A259983-F01E-40C2-9521-4720D1593966}" sourceName="Department">
  <pivotTables>
    <pivotTable tabId="4" name="PivotTable1"/>
    <pivotTable tabId="4" name="PivotTable11"/>
    <pivotTable tabId="4" name="PivotTable12"/>
    <pivotTable tabId="4" name="PivotTable2"/>
    <pivotTable tabId="4" name="PivotTable3"/>
    <pivotTable tabId="4" name="PivotTable5"/>
    <pivotTable tabId="4" name="PivotTable7"/>
  </pivotTables>
  <data>
    <tabular pivotCacheId="1483890527">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F4C4145-66CD-48CA-9885-789509313CE2}" cache="Slicer_Gender1" caption="Gender" columnCount="2" style="Slicer Style 1" rowHeight="249238"/>
  <slicer name="Department 1" xr10:uid="{9A29B33C-83C4-4DCE-A0B6-13C8796301F6}" cache="Slicer_Department1" caption="Department" columnCount="2" style="Slicer Style 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2161" dataDxfId="2160">
  <tableColumns count="21">
    <tableColumn id="1" xr3:uid="{6BDBB43D-1DF4-4FF3-9C56-0E3D699A83FC}" name="Employee ID" dataDxfId="2159"/>
    <tableColumn id="2" xr3:uid="{363D91B7-21AD-4B4B-86DE-95D24769EAA5}" name="Full Name" dataDxfId="2158"/>
    <tableColumn id="3" xr3:uid="{728245EC-9766-45F5-9851-7FEFEFBE2652}" name="Gender" dataDxfId="2157"/>
    <tableColumn id="4" xr3:uid="{DD8A90D1-163F-4B0E-A039-9E7A16AFC106}" name="Age" dataDxfId="2156"/>
    <tableColumn id="5" xr3:uid="{0672993B-A00D-49AE-84B7-674089468A17}" name="Age range" dataDxfId="2155"/>
    <tableColumn id="6" xr3:uid="{B1ADEE80-60F1-4EE3-B3FB-8484EE6C17B3}" name="Region" dataDxfId="2154"/>
    <tableColumn id="7" xr3:uid="{8E0A56EE-3456-4513-ADA0-27F6CAA8C17B}" name="Job Title" dataDxfId="2153"/>
    <tableColumn id="8" xr3:uid="{0D9D5DB9-01CB-4300-B0CD-256901621ADC}" name="Department" dataDxfId="2152"/>
    <tableColumn id="9" xr3:uid="{9EBDAC3F-6A39-4A78-B562-848691EE3AD1}" name="Manager/Supervisor" dataDxfId="2151"/>
    <tableColumn id="10" xr3:uid="{AF849F24-150A-4123-B3F8-A46B4D4F7BC6}" name="Date of Hire" dataDxfId="2150"/>
    <tableColumn id="11" xr3:uid="{8C57202E-334A-462A-9C44-E5E2468122E4}" name="Employment Status" dataDxfId="2149"/>
    <tableColumn id="12" xr3:uid="{8A07812C-245C-4D55-A210-3AE7E0BB84EB}" name="Work Location" dataDxfId="2148"/>
    <tableColumn id="13" xr3:uid="{6441036C-01DD-4130-8E4B-DBA441BCB744}" name="Salary" dataDxfId="2147"/>
    <tableColumn id="14" xr3:uid="{ADCF531A-A98E-422C-939D-04D58C2423FB}" name="Pay Grade" dataDxfId="2146"/>
    <tableColumn id="15" xr3:uid="{DE922695-AE31-4F31-8F89-61E6E7E646AB}" name="Bonus/Allowances" dataDxfId="2145"/>
    <tableColumn id="16" xr3:uid="{62F2B816-9954-4A01-AEDC-4C13B3A2A52F}" name="Insurance Details" dataDxfId="2144"/>
    <tableColumn id="17" xr3:uid="{6EFEC335-9B75-45D5-B403-A8A9E557BE24}" name="Leave Taken" dataDxfId="2143"/>
    <tableColumn id="18" xr3:uid="{9DA1B78E-154E-42E4-A1BC-FE1CF363DCBA}" name="Performance Rating" dataDxfId="2142"/>
    <tableColumn id="19" xr3:uid="{7E4B5E79-5639-4E3A-91A1-D1D8767BB705}" name="Training Programs Attended" dataDxfId="2141"/>
    <tableColumn id="20" xr3:uid="{2E731344-8C6D-4001-9E36-F16B80500F61}" name="Skills" dataDxfId="2140"/>
    <tableColumn id="21" xr3:uid="{9DCE550B-F788-4423-B330-CAB70C041DFC}" name="Certifications" dataDxfId="213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H1" workbookViewId="0">
      <selection activeCell="E6" sqref="E6"/>
    </sheetView>
  </sheetViews>
  <sheetFormatPr defaultColWidth="9.1328125" defaultRowHeight="13.5"/>
  <cols>
    <col min="1" max="1" width="17.73046875" style="2" bestFit="1" customWidth="1"/>
    <col min="2" max="2" width="18.1328125" style="2" bestFit="1" customWidth="1"/>
    <col min="3" max="3" width="12.86328125" style="2" bestFit="1" customWidth="1"/>
    <col min="4" max="4" width="9.59765625" style="2" bestFit="1" customWidth="1"/>
    <col min="5" max="5" width="15.86328125" style="2" bestFit="1" customWidth="1"/>
    <col min="6" max="6" width="12.265625" style="2" bestFit="1" customWidth="1"/>
    <col min="7" max="7" width="14.1328125" style="2" bestFit="1" customWidth="1"/>
    <col min="8" max="8" width="17.3984375" style="2" bestFit="1" customWidth="1"/>
    <col min="9" max="9" width="25.73046875" style="2" bestFit="1" customWidth="1"/>
    <col min="10" max="10" width="18" style="2" bestFit="1" customWidth="1"/>
    <col min="11" max="11" width="25" style="2" bestFit="1" customWidth="1"/>
    <col min="12" max="12" width="20.265625" style="2" bestFit="1" customWidth="1"/>
    <col min="13" max="13" width="11.86328125" style="2" bestFit="1" customWidth="1"/>
    <col min="14" max="14" width="16.1328125" style="2" bestFit="1" customWidth="1"/>
    <col min="15" max="15" width="24" style="2" bestFit="1" customWidth="1"/>
    <col min="16" max="16" width="22.73046875" style="2" bestFit="1" customWidth="1"/>
    <col min="17" max="17" width="18.1328125" style="2" bestFit="1" customWidth="1"/>
    <col min="18" max="18" width="25.3984375" style="2" bestFit="1" customWidth="1"/>
    <col min="19" max="19" width="34" style="2" bestFit="1" customWidth="1"/>
    <col min="20" max="20" width="16" style="2" bestFit="1" customWidth="1"/>
    <col min="21" max="21" width="21.1328125" style="2" bestFit="1" customWidth="1"/>
    <col min="22" max="16384" width="9.132812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6388D-E761-4E8E-9A13-F7A7C578A414}">
  <dimension ref="A2:X21"/>
  <sheetViews>
    <sheetView workbookViewId="0">
      <selection activeCell="D19" sqref="D19"/>
    </sheetView>
  </sheetViews>
  <sheetFormatPr defaultRowHeight="14.25"/>
  <cols>
    <col min="1" max="1" width="32.1328125" bestFit="1" customWidth="1"/>
    <col min="2" max="2" width="15.9296875" bestFit="1" customWidth="1"/>
    <col min="3" max="3" width="2.265625" customWidth="1"/>
    <col min="4" max="4" width="11.06640625" bestFit="1" customWidth="1"/>
    <col min="5" max="5" width="11.59765625" bestFit="1" customWidth="1"/>
    <col min="6" max="6" width="16.3984375" bestFit="1" customWidth="1"/>
    <col min="7" max="7" width="3" customWidth="1"/>
    <col min="8" max="8" width="15.9296875" bestFit="1" customWidth="1"/>
    <col min="9" max="9" width="12.53125" bestFit="1" customWidth="1"/>
    <col min="10" max="10" width="4.59765625" bestFit="1" customWidth="1"/>
    <col min="11" max="11" width="9.86328125" bestFit="1" customWidth="1"/>
    <col min="12" max="12" width="3.06640625" customWidth="1"/>
    <col min="13" max="13" width="11.265625" bestFit="1" customWidth="1"/>
    <col min="14" max="14" width="15.9296875" bestFit="1" customWidth="1"/>
    <col min="15" max="15" width="2.59765625" customWidth="1"/>
    <col min="16" max="16" width="13.46484375" bestFit="1" customWidth="1"/>
    <col min="17" max="17" width="15.9296875" bestFit="1" customWidth="1"/>
    <col min="18" max="18" width="2.9296875" customWidth="1"/>
    <col min="19" max="19" width="9.86328125" bestFit="1" customWidth="1"/>
    <col min="20" max="20" width="15.9296875" bestFit="1" customWidth="1"/>
    <col min="21" max="21" width="3.86328125" customWidth="1"/>
    <col min="22" max="22" width="11.9296875" bestFit="1" customWidth="1"/>
    <col min="23" max="23" width="25.3984375" bestFit="1" customWidth="1"/>
    <col min="24" max="24" width="6.73046875" bestFit="1" customWidth="1"/>
  </cols>
  <sheetData>
    <row r="2" spans="1:24">
      <c r="A2" s="9" t="s">
        <v>217</v>
      </c>
      <c r="B2" s="9"/>
      <c r="D2" s="9" t="s">
        <v>220</v>
      </c>
      <c r="E2" s="9"/>
      <c r="F2" s="9"/>
      <c r="H2" s="9" t="s">
        <v>222</v>
      </c>
      <c r="I2" s="9"/>
      <c r="J2" s="9"/>
      <c r="K2" s="9"/>
      <c r="M2" s="9" t="s">
        <v>223</v>
      </c>
      <c r="N2" s="12"/>
      <c r="P2" s="9" t="s">
        <v>19</v>
      </c>
      <c r="Q2" s="12"/>
      <c r="S2" s="9" t="s">
        <v>225</v>
      </c>
      <c r="T2" s="12"/>
      <c r="V2" s="9" t="s">
        <v>226</v>
      </c>
      <c r="W2" s="12"/>
    </row>
    <row r="3" spans="1:24">
      <c r="A3" s="4" t="s">
        <v>214</v>
      </c>
      <c r="B3" s="5" t="s">
        <v>216</v>
      </c>
      <c r="D3" s="4" t="s">
        <v>214</v>
      </c>
      <c r="E3" s="5" t="s">
        <v>219</v>
      </c>
      <c r="F3" s="5" t="s">
        <v>224</v>
      </c>
      <c r="H3" s="4" t="s">
        <v>216</v>
      </c>
      <c r="I3" s="4" t="s">
        <v>221</v>
      </c>
      <c r="J3" s="5"/>
      <c r="K3" s="5"/>
      <c r="M3" s="4" t="s">
        <v>214</v>
      </c>
      <c r="N3" s="5" t="s">
        <v>216</v>
      </c>
      <c r="P3" s="4" t="s">
        <v>214</v>
      </c>
      <c r="Q3" s="5" t="s">
        <v>216</v>
      </c>
      <c r="S3" s="4" t="s">
        <v>214</v>
      </c>
      <c r="T3" s="5" t="s">
        <v>216</v>
      </c>
      <c r="V3" s="4" t="s">
        <v>214</v>
      </c>
      <c r="W3" s="5" t="s">
        <v>227</v>
      </c>
    </row>
    <row r="4" spans="1:24">
      <c r="A4" s="6" t="s">
        <v>63</v>
      </c>
      <c r="B4" s="7">
        <v>17</v>
      </c>
      <c r="D4" s="6" t="s">
        <v>121</v>
      </c>
      <c r="E4" s="7">
        <v>167041</v>
      </c>
      <c r="F4" s="7">
        <v>28</v>
      </c>
      <c r="H4" s="4" t="s">
        <v>214</v>
      </c>
      <c r="I4" s="5" t="s">
        <v>22</v>
      </c>
      <c r="J4" s="5" t="s">
        <v>37</v>
      </c>
      <c r="K4" s="5" t="s">
        <v>215</v>
      </c>
      <c r="M4" s="6" t="s">
        <v>44</v>
      </c>
      <c r="N4" s="7">
        <v>23</v>
      </c>
      <c r="P4" s="21" t="s">
        <v>75</v>
      </c>
      <c r="Q4" s="17">
        <v>12</v>
      </c>
      <c r="S4" s="13" t="s">
        <v>39</v>
      </c>
      <c r="T4" s="17">
        <v>14</v>
      </c>
      <c r="V4" s="13" t="s">
        <v>26</v>
      </c>
      <c r="W4" s="18">
        <v>2.5833333333333335</v>
      </c>
    </row>
    <row r="5" spans="1:24">
      <c r="A5" s="6" t="s">
        <v>29</v>
      </c>
      <c r="B5" s="7">
        <v>20</v>
      </c>
      <c r="D5" s="6" t="s">
        <v>40</v>
      </c>
      <c r="E5" s="7">
        <v>613842</v>
      </c>
      <c r="F5" s="7">
        <v>110</v>
      </c>
      <c r="H5" s="6" t="s">
        <v>23</v>
      </c>
      <c r="I5" s="7">
        <v>6</v>
      </c>
      <c r="J5" s="7">
        <v>3</v>
      </c>
      <c r="K5" s="7">
        <v>9</v>
      </c>
      <c r="M5" s="6" t="s">
        <v>30</v>
      </c>
      <c r="N5" s="7">
        <v>8</v>
      </c>
      <c r="P5" s="13" t="s">
        <v>34</v>
      </c>
      <c r="Q5" s="14">
        <v>11</v>
      </c>
      <c r="S5" s="13" t="s">
        <v>24</v>
      </c>
      <c r="T5" s="14">
        <v>10</v>
      </c>
      <c r="V5" s="13" t="s">
        <v>41</v>
      </c>
      <c r="W5" s="19">
        <v>3.3</v>
      </c>
    </row>
    <row r="6" spans="1:24">
      <c r="A6" s="6" t="s">
        <v>111</v>
      </c>
      <c r="B6" s="7">
        <v>13</v>
      </c>
      <c r="D6" s="6" t="s">
        <v>72</v>
      </c>
      <c r="E6" s="7">
        <v>633594</v>
      </c>
      <c r="F6" s="7">
        <v>104</v>
      </c>
      <c r="H6" s="6" t="s">
        <v>38</v>
      </c>
      <c r="I6" s="7">
        <v>7</v>
      </c>
      <c r="J6" s="7">
        <v>6</v>
      </c>
      <c r="K6" s="7">
        <v>13</v>
      </c>
      <c r="M6" s="6" t="s">
        <v>54</v>
      </c>
      <c r="N6" s="7">
        <v>19</v>
      </c>
      <c r="P6" s="13" t="s">
        <v>96</v>
      </c>
      <c r="Q6" s="14">
        <v>7</v>
      </c>
      <c r="S6" s="13" t="s">
        <v>102</v>
      </c>
      <c r="T6" s="14">
        <v>7</v>
      </c>
      <c r="V6" s="13" t="s">
        <v>81</v>
      </c>
      <c r="W6" s="19">
        <v>2.25</v>
      </c>
    </row>
    <row r="7" spans="1:24">
      <c r="A7" s="6" t="s">
        <v>215</v>
      </c>
      <c r="B7" s="7">
        <v>50</v>
      </c>
      <c r="D7" s="6" t="s">
        <v>50</v>
      </c>
      <c r="E7" s="7">
        <v>959266</v>
      </c>
      <c r="F7" s="7">
        <v>123</v>
      </c>
      <c r="H7" s="6" t="s">
        <v>59</v>
      </c>
      <c r="I7" s="7">
        <v>5</v>
      </c>
      <c r="J7" s="7">
        <v>7</v>
      </c>
      <c r="K7" s="7">
        <v>12</v>
      </c>
      <c r="M7" s="6" t="s">
        <v>215</v>
      </c>
      <c r="N7" s="7">
        <v>50</v>
      </c>
      <c r="P7" s="13" t="s">
        <v>56</v>
      </c>
      <c r="Q7" s="14">
        <v>11</v>
      </c>
      <c r="S7" s="13" t="s">
        <v>80</v>
      </c>
      <c r="T7" s="14">
        <v>10</v>
      </c>
      <c r="V7" s="13" t="s">
        <v>51</v>
      </c>
      <c r="W7" s="19">
        <v>2.3636363636363638</v>
      </c>
    </row>
    <row r="8" spans="1:24">
      <c r="A8" s="6"/>
      <c r="B8" s="7"/>
      <c r="D8" s="6" t="s">
        <v>25</v>
      </c>
      <c r="E8" s="7">
        <v>731170</v>
      </c>
      <c r="F8" s="7">
        <v>122</v>
      </c>
      <c r="H8" s="6" t="s">
        <v>98</v>
      </c>
      <c r="I8" s="7">
        <v>4</v>
      </c>
      <c r="J8" s="7">
        <v>3</v>
      </c>
      <c r="K8" s="7">
        <v>7</v>
      </c>
      <c r="M8" s="5"/>
      <c r="N8" s="5"/>
      <c r="P8" s="15" t="s">
        <v>66</v>
      </c>
      <c r="Q8" s="14">
        <v>9</v>
      </c>
      <c r="S8" s="15" t="s">
        <v>49</v>
      </c>
      <c r="T8" s="14">
        <v>9</v>
      </c>
      <c r="V8" s="15" t="s">
        <v>60</v>
      </c>
      <c r="W8" s="19">
        <v>2.5555555555555554</v>
      </c>
    </row>
    <row r="9" spans="1:24">
      <c r="A9" s="5"/>
      <c r="B9" s="5"/>
      <c r="D9" s="6" t="s">
        <v>215</v>
      </c>
      <c r="E9" s="7">
        <v>3104913</v>
      </c>
      <c r="F9" s="7">
        <v>487</v>
      </c>
      <c r="H9" s="6" t="s">
        <v>68</v>
      </c>
      <c r="I9" s="7">
        <v>4</v>
      </c>
      <c r="J9" s="7">
        <v>5</v>
      </c>
      <c r="K9" s="7">
        <v>9</v>
      </c>
      <c r="M9" s="5"/>
      <c r="N9" s="5"/>
      <c r="P9" s="6" t="s">
        <v>215</v>
      </c>
      <c r="Q9" s="16">
        <v>50</v>
      </c>
      <c r="S9" s="6" t="s">
        <v>215</v>
      </c>
      <c r="T9" s="16">
        <v>50</v>
      </c>
      <c r="V9" s="6" t="s">
        <v>215</v>
      </c>
      <c r="W9" s="16">
        <v>2.62</v>
      </c>
    </row>
    <row r="10" spans="1:24">
      <c r="A10" s="6" t="s">
        <v>63</v>
      </c>
      <c r="B10" s="5">
        <f>IFERROR(GETPIVOTDATA("Full Name",$A$3,"Employment Status","Contract"),"0")</f>
        <v>17</v>
      </c>
      <c r="D10" s="5"/>
      <c r="E10" s="5"/>
      <c r="F10" s="5"/>
      <c r="H10" s="6" t="s">
        <v>215</v>
      </c>
      <c r="I10" s="7">
        <v>26</v>
      </c>
      <c r="J10" s="7">
        <v>24</v>
      </c>
      <c r="K10" s="7">
        <v>50</v>
      </c>
      <c r="M10" s="6" t="s">
        <v>44</v>
      </c>
      <c r="N10" s="5">
        <f>IFERROR(GETPIVOTDATA("Full Name",$M$3,"Work Location","Branch Office"),"0")</f>
        <v>23</v>
      </c>
      <c r="P10" s="5"/>
      <c r="Q10" s="5"/>
      <c r="S10" s="5"/>
      <c r="T10" s="5"/>
      <c r="V10" s="5"/>
      <c r="W10" s="5"/>
    </row>
    <row r="11" spans="1:24">
      <c r="A11" s="6" t="s">
        <v>29</v>
      </c>
      <c r="B11" s="5">
        <f>IFERROR(GETPIVOTDATA("Full Name",$A$3,"Employment Status","Full-Time"),"0")</f>
        <v>20</v>
      </c>
      <c r="D11" s="6" t="s">
        <v>121</v>
      </c>
      <c r="E11" s="5">
        <f>IFERROR(GETPIVOTDATA("Salary",$D$3,"Job Title","Analyst"),"0")</f>
        <v>167041</v>
      </c>
      <c r="F11" s="5">
        <f>IFERROR(GETPIVOTDATA("Sum of Leave Taken",$D$3,"Job Title","Analyst"),"0")</f>
        <v>28</v>
      </c>
      <c r="H11" s="5"/>
      <c r="I11" s="5"/>
      <c r="J11" s="5"/>
      <c r="K11" s="5"/>
      <c r="M11" s="6" t="s">
        <v>30</v>
      </c>
      <c r="N11" s="5">
        <f>IFERROR(GETPIVOTDATA("Full Name",$M$3,"Work Location","Head Office"),"0")</f>
        <v>8</v>
      </c>
      <c r="P11" s="6" t="s">
        <v>75</v>
      </c>
      <c r="Q11" s="5">
        <f>IFERROR(GETPIVOTDATA("Full Name",$P$3,"Skills","Communication"),"0")</f>
        <v>12</v>
      </c>
      <c r="S11" s="6" t="s">
        <v>39</v>
      </c>
      <c r="T11" s="5">
        <f>IFERROR(GETPIVOTDATA("Full Name",$S$3,"Region","Central"),"0")</f>
        <v>14</v>
      </c>
      <c r="V11" s="6" t="s">
        <v>26</v>
      </c>
      <c r="W11" s="10">
        <f>IFERROR(GETPIVOTDATA("Performance Rating",$V$3,"Department","Finance"),"0")</f>
        <v>2.5833333333333335</v>
      </c>
      <c r="X11" s="11"/>
    </row>
    <row r="12" spans="1:24">
      <c r="A12" s="6" t="s">
        <v>111</v>
      </c>
      <c r="B12" s="5">
        <f>IFERROR(GETPIVOTDATA("Full Name",$A$3,"Employment Status","Part-Time"),"0")</f>
        <v>13</v>
      </c>
      <c r="D12" s="6" t="s">
        <v>40</v>
      </c>
      <c r="E12" s="5">
        <f>IFERROR(GETPIVOTDATA("Salary",$D$3,"Job Title","Designer"),"0")</f>
        <v>613842</v>
      </c>
      <c r="F12" s="5">
        <f>IFERROR(GETPIVOTDATA("Sum of Leave Taken",$D$3,"Job Title","Designer"),"0")</f>
        <v>110</v>
      </c>
      <c r="H12" s="6" t="s">
        <v>23</v>
      </c>
      <c r="I12" s="5">
        <f>IFERROR(GETPIVOTDATA("Full Name",$H$3,"Age range","18-25"),"0")</f>
        <v>9</v>
      </c>
      <c r="J12" s="5"/>
      <c r="K12" s="5"/>
      <c r="M12" s="6" t="s">
        <v>54</v>
      </c>
      <c r="N12" s="5">
        <f>IFERROR(GETPIVOTDATA("Full Name",$M$3,"Work Location","Remote"),"0")</f>
        <v>19</v>
      </c>
      <c r="P12" s="6" t="s">
        <v>34</v>
      </c>
      <c r="Q12" s="5">
        <f>IFERROR(GETPIVOTDATA("Full Name",$P$3,"Skills","Design"),"0")</f>
        <v>11</v>
      </c>
      <c r="S12" s="6" t="s">
        <v>24</v>
      </c>
      <c r="T12" s="5">
        <f>IFERROR(GETPIVOTDATA("Full Name",$S$3,"Region","East"),"0")</f>
        <v>10</v>
      </c>
      <c r="V12" s="6" t="s">
        <v>41</v>
      </c>
      <c r="W12" s="10">
        <f>IFERROR(GETPIVOTDATA("Performance Rating",$V$3,"Department","HR"),"0")</f>
        <v>3.3</v>
      </c>
      <c r="X12" s="11"/>
    </row>
    <row r="13" spans="1:24">
      <c r="A13" s="8" t="s">
        <v>218</v>
      </c>
      <c r="B13" s="5">
        <f>SUM(B10:B12)</f>
        <v>50</v>
      </c>
      <c r="D13" s="6" t="s">
        <v>72</v>
      </c>
      <c r="E13" s="5">
        <f>IFERROR(GETPIVOTDATA("Salary",$D$3,"Job Title","Developer"),"0")</f>
        <v>633594</v>
      </c>
      <c r="F13" s="5">
        <f>IFERROR(GETPIVOTDATA("Sum of Leave Taken",$D$3,"Job Title","Developer"),"0")</f>
        <v>104</v>
      </c>
      <c r="H13" s="6" t="s">
        <v>38</v>
      </c>
      <c r="I13" s="5">
        <f>IFERROR(GETPIVOTDATA("Full Name",$H$3,"Age range","26-35"),"0")</f>
        <v>13</v>
      </c>
      <c r="J13" s="5"/>
      <c r="K13" s="5"/>
      <c r="M13" s="8" t="s">
        <v>218</v>
      </c>
      <c r="N13" s="5">
        <f>SUM(N10:N12)</f>
        <v>50</v>
      </c>
      <c r="P13" s="6" t="s">
        <v>96</v>
      </c>
      <c r="Q13" s="5">
        <f>IFERROR(GETPIVOTDATA("Full Name",$P$3,"Skills","Excel"),"0")</f>
        <v>7</v>
      </c>
      <c r="S13" s="6" t="s">
        <v>102</v>
      </c>
      <c r="T13" s="5">
        <f>IFERROR(GETPIVOTDATA("Full Name",$S$3,"Region","North"),"0")</f>
        <v>7</v>
      </c>
      <c r="V13" s="6" t="s">
        <v>81</v>
      </c>
      <c r="W13" s="10">
        <f>IFERROR(GETPIVOTDATA("Performance Rating",$V$3,"Department","IT"),"0")</f>
        <v>2.25</v>
      </c>
      <c r="X13" s="11"/>
    </row>
    <row r="14" spans="1:24">
      <c r="D14" s="6" t="s">
        <v>50</v>
      </c>
      <c r="E14" s="5">
        <f>IFERROR(GETPIVOTDATA("Salary",$D$3,"Job Title","HR Specialist"),"0")</f>
        <v>959266</v>
      </c>
      <c r="F14" s="5">
        <f>IFERROR(GETPIVOTDATA("Sum of Leave Taken",$D$3,"Job Title","HR Specialist"),"0")</f>
        <v>123</v>
      </c>
      <c r="H14" s="6" t="s">
        <v>59</v>
      </c>
      <c r="I14" s="5">
        <f>IFERROR(GETPIVOTDATA("Full Name",$H$3,"Age range","36-45"),"0")</f>
        <v>12</v>
      </c>
      <c r="J14" s="5"/>
      <c r="K14" s="5"/>
      <c r="M14" s="5"/>
      <c r="N14" s="5"/>
      <c r="P14" s="6" t="s">
        <v>56</v>
      </c>
      <c r="Q14" s="5">
        <f>IFERROR(GETPIVOTDATA("Full Name",$P$3,"Skills","Management"),"0")</f>
        <v>11</v>
      </c>
      <c r="S14" s="6" t="s">
        <v>80</v>
      </c>
      <c r="T14" s="5">
        <f>IFERROR(GETPIVOTDATA("Full Name",$S$3,"Region","South"),"0")</f>
        <v>10</v>
      </c>
      <c r="V14" s="6" t="s">
        <v>51</v>
      </c>
      <c r="W14" s="10">
        <f>IFERROR(GETPIVOTDATA("Performance Rating",$V$3,"Department","Marketing"),"0")</f>
        <v>2.3636363636363638</v>
      </c>
      <c r="X14" s="11"/>
    </row>
    <row r="15" spans="1:24">
      <c r="D15" s="6" t="s">
        <v>25</v>
      </c>
      <c r="E15" s="5">
        <f>IFERROR(GETPIVOTDATA("Salary",$D$3,"Job Title","Manager"),"0")</f>
        <v>731170</v>
      </c>
      <c r="F15" s="5">
        <f>IFERROR(GETPIVOTDATA("Sum of Leave Taken",$D$3,"Job Title","Manager"),"0")</f>
        <v>122</v>
      </c>
      <c r="H15" s="6" t="s">
        <v>98</v>
      </c>
      <c r="I15" s="5">
        <f>IFERROR(GETPIVOTDATA("Full Name",$H$3,"Age range","46-55"),"0")</f>
        <v>7</v>
      </c>
      <c r="J15" s="5"/>
      <c r="K15" s="5"/>
      <c r="M15" s="22">
        <f>SUM(N10)/SUM($N$10:$N$12)</f>
        <v>0.46</v>
      </c>
      <c r="N15" s="23">
        <f>1-M15</f>
        <v>0.54</v>
      </c>
      <c r="P15" s="6" t="s">
        <v>66</v>
      </c>
      <c r="Q15" s="5">
        <f>IFERROR(GETPIVOTDATA("Full Name",$P$3,"Skills","Python"),"0")</f>
        <v>9</v>
      </c>
      <c r="S15" s="6" t="s">
        <v>49</v>
      </c>
      <c r="T15" s="5">
        <f>IFERROR(GETPIVOTDATA("Full Name",$S$3,"Region","West"),"0")</f>
        <v>9</v>
      </c>
      <c r="V15" s="6" t="s">
        <v>60</v>
      </c>
      <c r="W15" s="10">
        <f>IFERROR(GETPIVOTDATA("Performance Rating",$V$3,"Department","Operations"),"0")</f>
        <v>2.5555555555555554</v>
      </c>
      <c r="X15" s="11"/>
    </row>
    <row r="16" spans="1:24">
      <c r="D16" s="8" t="s">
        <v>218</v>
      </c>
      <c r="E16" s="5">
        <f>SUM(E11:E15)</f>
        <v>3104913</v>
      </c>
      <c r="F16" s="5"/>
      <c r="H16" s="6" t="s">
        <v>68</v>
      </c>
      <c r="I16" s="5">
        <f>IFERROR(GETPIVOTDATA("Full Name",$H$3,"Age range","56 &lt;"),"0")</f>
        <v>9</v>
      </c>
      <c r="J16" s="5"/>
      <c r="K16" s="5"/>
      <c r="M16" s="22">
        <f>SUM(N11)/SUM($N$10:$N$12)</f>
        <v>0.16</v>
      </c>
      <c r="N16" s="23">
        <f t="shared" ref="N16:N17" si="0">1-M16</f>
        <v>0.84</v>
      </c>
      <c r="S16" s="5" t="s">
        <v>218</v>
      </c>
      <c r="T16" s="5">
        <f>SUM(T11:T15)</f>
        <v>50</v>
      </c>
      <c r="V16" s="8" t="s">
        <v>218</v>
      </c>
      <c r="W16" s="20">
        <f>AVERAGE(W11:W15)</f>
        <v>2.6105050505050502</v>
      </c>
    </row>
    <row r="17" spans="8:14">
      <c r="H17" s="8" t="s">
        <v>218</v>
      </c>
      <c r="I17" s="5">
        <f>SUM(I12:I16)</f>
        <v>50</v>
      </c>
      <c r="J17" s="5"/>
      <c r="K17" s="5"/>
      <c r="M17" s="22">
        <f>SUM(N12)/SUM($N$10:$N$12)</f>
        <v>0.38</v>
      </c>
      <c r="N17" s="23">
        <f t="shared" si="0"/>
        <v>0.62</v>
      </c>
    </row>
    <row r="18" spans="8:14">
      <c r="H18" s="5"/>
      <c r="I18" s="5"/>
      <c r="J18" s="5"/>
      <c r="K18" s="5"/>
    </row>
    <row r="19" spans="8:14">
      <c r="H19" s="8" t="s">
        <v>37</v>
      </c>
      <c r="I19" s="5">
        <f>IFERROR(GETPIVOTDATA("Full Name",$H$3,"Gender","Male"),"0")</f>
        <v>24</v>
      </c>
      <c r="J19" s="22">
        <f t="shared" ref="J19:J20" si="1">SUM(I19)/SUM($I$19:$I$20)</f>
        <v>0.48</v>
      </c>
      <c r="K19" s="23">
        <f>1-J19</f>
        <v>0.52</v>
      </c>
    </row>
    <row r="20" spans="8:14">
      <c r="H20" s="8" t="s">
        <v>22</v>
      </c>
      <c r="I20" s="5">
        <f>IFERROR(GETPIVOTDATA("Full Name",$H$3,"Gender","Female"),"0")</f>
        <v>26</v>
      </c>
      <c r="J20" s="22">
        <f t="shared" si="1"/>
        <v>0.52</v>
      </c>
      <c r="K20" s="23">
        <f>1-J20</f>
        <v>0.48</v>
      </c>
    </row>
    <row r="21" spans="8:14">
      <c r="H21" s="8" t="s">
        <v>218</v>
      </c>
      <c r="I21" s="5">
        <f>SUM(I19:I20)</f>
        <v>50</v>
      </c>
      <c r="J21" s="5"/>
      <c r="K21" s="5"/>
    </row>
  </sheetData>
  <mergeCells count="7">
    <mergeCell ref="P2:Q2"/>
    <mergeCell ref="S2:T2"/>
    <mergeCell ref="V2:W2"/>
    <mergeCell ref="A2:B2"/>
    <mergeCell ref="D2:F2"/>
    <mergeCell ref="H2:K2"/>
    <mergeCell ref="M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9148-38C7-4264-B778-ED79E21A9DCC}">
  <dimension ref="C4:T23"/>
  <sheetViews>
    <sheetView showGridLines="0" tabSelected="1" topLeftCell="A7" zoomScale="90" workbookViewId="0">
      <selection activeCell="S6" sqref="S6"/>
    </sheetView>
  </sheetViews>
  <sheetFormatPr defaultRowHeight="14.25"/>
  <cols>
    <col min="1" max="16384" width="9.06640625" style="24"/>
  </cols>
  <sheetData>
    <row r="4" spans="3:20">
      <c r="D4" s="25"/>
    </row>
    <row r="10" spans="3:20">
      <c r="C10" s="25"/>
    </row>
    <row r="16" spans="3:20">
      <c r="T16" s="26"/>
    </row>
    <row r="23" spans="19:19">
      <c r="S23"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Pivote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Vaibhav Dhakulkar</cp:lastModifiedBy>
  <dcterms:created xsi:type="dcterms:W3CDTF">2024-12-11T17:14:33Z</dcterms:created>
  <dcterms:modified xsi:type="dcterms:W3CDTF">2025-11-09T13:17:34Z</dcterms:modified>
</cp:coreProperties>
</file>